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rhe\OneDrive\문서\MAS_Experiments\260920_agent failure diagnosis\"/>
    </mc:Choice>
  </mc:AlternateContent>
  <xr:revisionPtr revIDLastSave="0" documentId="13_ncr:1_{0C1DD434-1125-4FCC-ACD3-0739C4AF7F4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emini-3.7-Flash_v2 (2)" sheetId="5" r:id="rId1"/>
    <sheet name="GPT-6-luna (2)" sheetId="1" r:id="rId2"/>
    <sheet name="Gemini-3.7-Flash" sheetId="2" r:id="rId3"/>
    <sheet name="Gemini-3.7-Flash_v2" sheetId="3" r:id="rId4"/>
    <sheet name="Gemini-3.7-Flash_v3" sheetId="6" r:id="rId5"/>
  </sheets>
  <definedNames>
    <definedName name="_xlnm.Print_Area" localSheetId="3">'Gemini-3.7-Flash_v2'!$D$3:$P$44</definedName>
    <definedName name="_xlnm.Print_Area" localSheetId="0">'Gemini-3.7-Flash_v2 (2)'!$D$3:$P$44</definedName>
    <definedName name="_xlnm.Print_Area" localSheetId="4">'Gemini-3.7-Flash_v3'!$D$3:$P$44</definedName>
  </definedNames>
  <calcPr calcId="191029"/>
</workbook>
</file>

<file path=xl/calcChain.xml><?xml version="1.0" encoding="utf-8"?>
<calcChain xmlns="http://schemas.openxmlformats.org/spreadsheetml/2006/main">
  <c r="G21" i="6" l="1"/>
  <c r="H8" i="6"/>
  <c r="H12" i="6"/>
  <c r="H10" i="6"/>
  <c r="H11" i="6"/>
  <c r="H9" i="6"/>
  <c r="H7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Evaluation</author>
  </authors>
  <commentList>
    <comment ref="E6" authorId="0" shapeId="0" xr:uid="{BC690BD9-426E-4910-AE26-2515025F26A1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F6" authorId="0" shapeId="0" xr:uid="{64435DD5-F1F5-4A11-85C0-C71AEE6B8B48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G6" authorId="0" shapeId="0" xr:uid="{EDFDAC10-22E7-4FFA-815A-D3DC1EAB88ED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H6" authorId="0" shapeId="0" xr:uid="{55916B7C-D428-411E-A1FD-378ACF0E3D47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E7" authorId="0" shapeId="0" xr:uid="{8094A4D0-0ABE-4AB8-BD37-8B1568F3D28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F7" authorId="0" shapeId="0" xr:uid="{8670C7FB-C042-420B-8934-C7E815E17E7E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G7" authorId="0" shapeId="0" xr:uid="{DCDDD529-8479-44B5-96A3-1830CB73FC1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H7" authorId="0" shapeId="0" xr:uid="{734DAAC3-02F7-4D81-88BF-497156C28253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E8" authorId="0" shapeId="0" xr:uid="{5F1168C8-6799-457E-B14C-7420E694B84B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F8" authorId="0" shapeId="0" xr:uid="{DDDF0E98-00AE-4AA7-B655-9C7398D25EB0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G8" authorId="0" shapeId="0" xr:uid="{D0D856A4-9765-4AA2-A140-8677F6CEB664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H8" authorId="0" shapeId="0" xr:uid="{80041C29-764C-411B-B5BA-F21CCB887473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E9" authorId="0" shapeId="0" xr:uid="{01E46B72-D100-494D-9AA2-08E741F4E728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F9" authorId="0" shapeId="0" xr:uid="{6A0A85C1-F79A-4E8B-A87B-07264248E64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G9" authorId="0" shapeId="0" xr:uid="{E30D4E87-B517-4FC3-881F-9EE0B1A418A3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H9" authorId="0" shapeId="0" xr:uid="{915CF9FA-E909-4383-A118-B2F4C53BD0A9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E10" authorId="0" shapeId="0" xr:uid="{230CADFF-5524-4A45-BF24-5CD6BE0C3193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F10" authorId="0" shapeId="0" xr:uid="{2FE947BC-8A75-4D7D-B262-512B17FF1EFA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G10" authorId="0" shapeId="0" xr:uid="{51423251-62AA-4CD4-A387-4D9243D24A19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H10" authorId="0" shapeId="0" xr:uid="{4EB81933-394E-41A3-97C5-3851A26739BC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E11" authorId="0" shapeId="0" xr:uid="{AC11C114-3643-46F1-9CE0-31A19BFAA57F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F11" authorId="0" shapeId="0" xr:uid="{A9796F69-2EAD-4A9A-8CF2-7E990711BD8B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G11" authorId="0" shapeId="0" xr:uid="{E13A2B8F-34AC-489E-93E6-3AAE6C420B64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H11" authorId="0" shapeId="0" xr:uid="{3A7AC052-2981-49D0-8570-0BFA17885F8F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F16" authorId="0" shapeId="0" xr:uid="{B69C0C53-A3B1-460A-92CF-6C89CDE0DBD3}">
      <text>
        <r>
          <rPr>
            <sz val="11"/>
            <color theme="1"/>
            <rFont val="맑은 고딕"/>
            <family val="2"/>
            <charset val="129"/>
            <scheme val="minor"/>
          </rPr>
          <t>589/600 (trace, item) pairs; traces=100; no threshold</t>
        </r>
      </text>
    </comment>
    <comment ref="G16" authorId="0" shapeId="0" xr:uid="{C05B342A-9FC8-4BEC-AEB2-2B3F933744D3}">
      <text>
        <r>
          <rPr>
            <sz val="11"/>
            <color theme="1"/>
            <rFont val="맑은 고딕"/>
            <family val="2"/>
            <charset val="129"/>
            <scheme val="minor"/>
          </rPr>
          <t>1123/1200 (trace, item) pairs; traces=100; no threshold</t>
        </r>
      </text>
    </comment>
    <comment ref="H16" authorId="0" shapeId="0" xr:uid="{DE5CE185-8E66-4750-8ABE-ED303DB1308C}">
      <text>
        <r>
          <rPr>
            <sz val="11"/>
            <color theme="1"/>
            <rFont val="맑은 고딕"/>
            <family val="2"/>
            <charset val="129"/>
            <scheme val="minor"/>
          </rPr>
          <t>1712/1800 (trace, item) pairs; traces=100; no threshold</t>
        </r>
      </text>
    </comment>
    <comment ref="F17" authorId="0" shapeId="0" xr:uid="{E155C8EF-03FD-4E21-9A8E-6CFFD39CC0FB}">
      <text>
        <r>
          <rPr>
            <sz val="11"/>
            <color theme="1"/>
            <rFont val="맑은 고딕"/>
            <family val="2"/>
            <charset val="129"/>
            <scheme val="minor"/>
          </rPr>
          <t>287/300 (trace, item) pairs; traces=50; no threshold</t>
        </r>
      </text>
    </comment>
    <comment ref="G17" authorId="0" shapeId="0" xr:uid="{BA1FA539-DC1C-40BE-8F4A-862D11D627FC}">
      <text>
        <r>
          <rPr>
            <sz val="11"/>
            <color theme="1"/>
            <rFont val="맑은 고딕"/>
            <family val="2"/>
            <charset val="129"/>
            <scheme val="minor"/>
          </rPr>
          <t>544/600 (trace, item) pairs; traces=50; no threshold</t>
        </r>
      </text>
    </comment>
    <comment ref="H17" authorId="0" shapeId="0" xr:uid="{016272F9-8C98-44EA-B670-D0B101902641}">
      <text>
        <r>
          <rPr>
            <sz val="11"/>
            <color theme="1"/>
            <rFont val="맑은 고딕"/>
            <family val="2"/>
            <charset val="129"/>
            <scheme val="minor"/>
          </rPr>
          <t>831/900 (trace, item) pairs; traces=50; no threshold</t>
        </r>
      </text>
    </comment>
    <comment ref="F18" authorId="0" shapeId="0" xr:uid="{E633238A-6BCE-46B8-B8F5-F001171601DE}">
      <text>
        <r>
          <rPr>
            <sz val="11"/>
            <color theme="1"/>
            <rFont val="맑은 고딕"/>
            <family val="2"/>
            <charset val="129"/>
            <scheme val="minor"/>
          </rPr>
          <t>476/756 (trace, item) pairs; traces=126; no threshold</t>
        </r>
      </text>
    </comment>
    <comment ref="G18" authorId="0" shapeId="0" xr:uid="{7E521B60-2E88-4471-B03E-ECC5CC70CB24}">
      <text>
        <r>
          <rPr>
            <sz val="11"/>
            <color theme="1"/>
            <rFont val="맑은 고딕"/>
            <family val="2"/>
            <charset val="129"/>
            <scheme val="minor"/>
          </rPr>
          <t>11/1512 (trace, item) pairs; traces=126; no threshold</t>
        </r>
      </text>
    </comment>
    <comment ref="H18" authorId="0" shapeId="0" xr:uid="{F8A636E7-B898-48C3-81E9-53768DAD4069}">
      <text>
        <r>
          <rPr>
            <sz val="11"/>
            <color theme="1"/>
            <rFont val="맑은 고딕"/>
            <family val="2"/>
            <charset val="129"/>
            <scheme val="minor"/>
          </rPr>
          <t>487/2268 (trace, item) pairs; traces=126; no threshold</t>
        </r>
      </text>
    </comment>
    <comment ref="F19" authorId="0" shapeId="0" xr:uid="{A650A481-51F5-4F73-8D6B-9F9952083C1A}">
      <text>
        <r>
          <rPr>
            <sz val="11"/>
            <color theme="1"/>
            <rFont val="맑은 고딕"/>
            <family val="2"/>
            <charset val="129"/>
            <scheme val="minor"/>
          </rPr>
          <t>279/348 (trace, item) pairs; traces=58; no threshold</t>
        </r>
      </text>
    </comment>
    <comment ref="G19" authorId="0" shapeId="0" xr:uid="{01D75A7A-FD47-44BD-990A-F7490B38082F}">
      <text>
        <r>
          <rPr>
            <sz val="11"/>
            <color theme="1"/>
            <rFont val="맑은 고딕"/>
            <family val="2"/>
            <charset val="129"/>
            <scheme val="minor"/>
          </rPr>
          <t>578/696 (trace, item) pairs; traces=58; no threshold</t>
        </r>
      </text>
    </comment>
    <comment ref="H19" authorId="0" shapeId="0" xr:uid="{EAB5075E-1A0A-401F-97A3-1EB67D43200E}">
      <text>
        <r>
          <rPr>
            <sz val="11"/>
            <color theme="1"/>
            <rFont val="맑은 고딕"/>
            <family val="2"/>
            <charset val="129"/>
            <scheme val="minor"/>
          </rPr>
          <t>857/1044 (trace, item) pairs; traces=58; no threshold</t>
        </r>
      </text>
    </comment>
    <comment ref="F20" authorId="0" shapeId="0" xr:uid="{245FE679-87FA-46AF-867B-E87125D15339}">
      <text>
        <r>
          <rPr>
            <sz val="11"/>
            <color theme="1"/>
            <rFont val="맑은 고딕"/>
            <family val="2"/>
            <charset val="129"/>
            <scheme val="minor"/>
          </rPr>
          <t>638/702 (trace, item) pairs; traces=117; no threshold</t>
        </r>
      </text>
    </comment>
    <comment ref="G20" authorId="0" shapeId="0" xr:uid="{F4F50B32-37E0-4F45-A23F-9EE68D6E13B1}">
      <text>
        <r>
          <rPr>
            <sz val="11"/>
            <color theme="1"/>
            <rFont val="맑은 고딕"/>
            <family val="2"/>
            <charset val="129"/>
            <scheme val="minor"/>
          </rPr>
          <t>1146/1404 (trace, item) pairs; traces=117; no threshold</t>
        </r>
      </text>
    </comment>
    <comment ref="H20" authorId="0" shapeId="0" xr:uid="{5241C615-5D8D-404C-9B73-C0B4FCD6A316}">
      <text>
        <r>
          <rPr>
            <sz val="11"/>
            <color theme="1"/>
            <rFont val="맑은 고딕"/>
            <family val="2"/>
            <charset val="129"/>
            <scheme val="minor"/>
          </rPr>
          <t>1784/2106 (trace, item) pairs; traces=117; no threshold</t>
        </r>
      </text>
    </comment>
    <comment ref="F21" authorId="0" shapeId="0" xr:uid="{F0E318CD-AF3F-4EE0-98FC-C669507C2895}">
      <text>
        <r>
          <rPr>
            <sz val="11"/>
            <color theme="1"/>
            <rFont val="맑은 고딕"/>
            <family val="2"/>
            <charset val="129"/>
            <scheme val="minor"/>
          </rPr>
          <t>150/186 (trace, item) pairs; traces=31; no threshold</t>
        </r>
      </text>
    </comment>
    <comment ref="G21" authorId="0" shapeId="0" xr:uid="{8AC1C17A-A43D-4674-B691-A8A3CE1376D0}">
      <text>
        <r>
          <rPr>
            <sz val="11"/>
            <color theme="1"/>
            <rFont val="맑은 고딕"/>
            <family val="2"/>
            <charset val="129"/>
            <scheme val="minor"/>
          </rPr>
          <t>30/372 (trace, item) pairs; traces=31; no threshold</t>
        </r>
      </text>
    </comment>
    <comment ref="H21" authorId="0" shapeId="0" xr:uid="{344E8CD9-E1BE-4CC2-80E0-D1500B593CFC}">
      <text>
        <r>
          <rPr>
            <sz val="11"/>
            <color theme="1"/>
            <rFont val="맑은 고딕"/>
            <family val="2"/>
            <charset val="129"/>
            <scheme val="minor"/>
          </rPr>
          <t>180/558 (trace, item) pairs; traces=31; no threshold</t>
        </r>
      </text>
    </comment>
    <comment ref="E28" authorId="0" shapeId="0" xr:uid="{21B2844A-7168-4F22-A011-75406F72CE86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F28" authorId="0" shapeId="0" xr:uid="{734F3B05-0B3A-4F35-9E4F-A893C2F2216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G28" authorId="0" shapeId="0" xr:uid="{88C4A77B-A135-4A6C-AFFF-FDB93AFCAED9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H28" authorId="0" shapeId="0" xr:uid="{84CD939D-B381-40D1-810E-0AB94ECD19B4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E29" authorId="0" shapeId="0" xr:uid="{5B0081E8-8F02-4750-BD75-AC3A52E04F1F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F29" authorId="0" shapeId="0" xr:uid="{E327DC70-EA51-4056-87D3-E84B40F451F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G29" authorId="0" shapeId="0" xr:uid="{5AD5FC2C-3F77-4CD6-833A-6FAE12272FD9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H29" authorId="0" shapeId="0" xr:uid="{16F72A96-41EA-485B-82AF-219D93E4D5C5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E30" authorId="0" shapeId="0" xr:uid="{EE5B5A8C-AFCE-4D9B-8D8B-7F0F0B05A1FB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F30" authorId="0" shapeId="0" xr:uid="{5D6B1F9C-015C-430B-A8B3-A42F27F2DCF1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G30" authorId="0" shapeId="0" xr:uid="{1EB5D719-3E8C-4A24-8482-01C0267E284B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H30" authorId="0" shapeId="0" xr:uid="{0370470E-7680-43B2-8297-B5E9F04E35B9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Evaluation</author>
  </authors>
  <commentList>
    <comment ref="E6" authorId="0" shapeId="0" xr:uid="{00000000-0006-0000-02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F6" authorId="0" shapeId="0" xr:uid="{00000000-0006-0000-0200-000002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G6" authorId="0" shapeId="0" xr:uid="{00000000-0006-0000-0200-000003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H6" authorId="0" shapeId="0" xr:uid="{00000000-0006-0000-0200-000004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n=100; adjusted n=100</t>
        </r>
      </text>
    </comment>
    <comment ref="E7" authorId="0" shapeId="0" xr:uid="{00000000-0006-0000-0200-000009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F7" authorId="0" shapeId="0" xr:uid="{00000000-0006-0000-0200-00000A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G7" authorId="0" shapeId="0" xr:uid="{00000000-0006-0000-0200-00000B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H7" authorId="0" shapeId="0" xr:uid="{00000000-0006-0000-0200-00000C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n=49; adjusted n=44</t>
        </r>
      </text>
    </comment>
    <comment ref="E8" authorId="0" shapeId="0" xr:uid="{00000000-0006-0000-0200-00000D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F8" authorId="0" shapeId="0" xr:uid="{00000000-0006-0000-0200-00000E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G8" authorId="0" shapeId="0" xr:uid="{00000000-0006-0000-0200-00000F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H8" authorId="0" shapeId="0" xr:uid="{00000000-0006-0000-0200-000010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n=199; adjusted n=194</t>
        </r>
      </text>
    </comment>
    <comment ref="E9" authorId="0" shapeId="0" xr:uid="{00000000-0006-0000-0200-000011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F9" authorId="0" shapeId="0" xr:uid="{00000000-0006-0000-0200-000012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G9" authorId="0" shapeId="0" xr:uid="{00000000-0006-0000-0200-000013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H9" authorId="0" shapeId="0" xr:uid="{00000000-0006-0000-0200-000014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n=126</t>
        </r>
      </text>
    </comment>
    <comment ref="E10" authorId="0" shapeId="0" xr:uid="{00000000-0006-0000-0200-000015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F10" authorId="0" shapeId="0" xr:uid="{00000000-0006-0000-0200-000016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G10" authorId="0" shapeId="0" xr:uid="{00000000-0006-0000-0200-000017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H10" authorId="0" shapeId="0" xr:uid="{00000000-0006-0000-0200-000018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E11" authorId="0" shapeId="0" xr:uid="{00000000-0006-0000-0200-000019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F11" authorId="0" shapeId="0" xr:uid="{00000000-0006-0000-0200-00001A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G11" authorId="0" shapeId="0" xr:uid="{00000000-0006-0000-0200-00001B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H11" authorId="0" shapeId="0" xr:uid="{00000000-0006-0000-0200-00001C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n=184</t>
        </r>
      </text>
    </comment>
    <comment ref="F16" authorId="0" shapeId="0" xr:uid="{00000000-0006-0000-0200-00001D000000}">
      <text>
        <r>
          <rPr>
            <sz val="11"/>
            <color theme="1"/>
            <rFont val="맑은 고딕"/>
            <family val="2"/>
            <charset val="129"/>
            <scheme val="minor"/>
          </rPr>
          <t>589/600 (trace, item) pairs; traces=100; no threshold</t>
        </r>
      </text>
    </comment>
    <comment ref="G16" authorId="0" shapeId="0" xr:uid="{00000000-0006-0000-0200-00001E000000}">
      <text>
        <r>
          <rPr>
            <sz val="11"/>
            <color theme="1"/>
            <rFont val="맑은 고딕"/>
            <family val="2"/>
            <charset val="129"/>
            <scheme val="minor"/>
          </rPr>
          <t>1123/1200 (trace, item) pairs; traces=100; no threshold</t>
        </r>
      </text>
    </comment>
    <comment ref="H16" authorId="0" shapeId="0" xr:uid="{00000000-0006-0000-0200-00001F000000}">
      <text>
        <r>
          <rPr>
            <sz val="11"/>
            <color theme="1"/>
            <rFont val="맑은 고딕"/>
            <family val="2"/>
            <charset val="129"/>
            <scheme val="minor"/>
          </rPr>
          <t>1712/1800 (trace, item) pairs; traces=100; no threshold</t>
        </r>
      </text>
    </comment>
    <comment ref="F17" authorId="0" shapeId="0" xr:uid="{00000000-0006-0000-0200-000023000000}">
      <text>
        <r>
          <rPr>
            <sz val="11"/>
            <color theme="1"/>
            <rFont val="맑은 고딕"/>
            <family val="2"/>
            <charset val="129"/>
            <scheme val="minor"/>
          </rPr>
          <t>287/300 (trace, item) pairs; traces=50; no threshold</t>
        </r>
      </text>
    </comment>
    <comment ref="G17" authorId="0" shapeId="0" xr:uid="{00000000-0006-0000-0200-000024000000}">
      <text>
        <r>
          <rPr>
            <sz val="11"/>
            <color theme="1"/>
            <rFont val="맑은 고딕"/>
            <family val="2"/>
            <charset val="129"/>
            <scheme val="minor"/>
          </rPr>
          <t>544/600 (trace, item) pairs; traces=50; no threshold</t>
        </r>
      </text>
    </comment>
    <comment ref="H17" authorId="0" shapeId="0" xr:uid="{00000000-0006-0000-0200-000025000000}">
      <text>
        <r>
          <rPr>
            <sz val="11"/>
            <color theme="1"/>
            <rFont val="맑은 고딕"/>
            <family val="2"/>
            <charset val="129"/>
            <scheme val="minor"/>
          </rPr>
          <t>831/900 (trace, item) pairs; traces=50; no threshold</t>
        </r>
      </text>
    </comment>
    <comment ref="F18" authorId="0" shapeId="0" xr:uid="{00000000-0006-0000-0200-000026000000}">
      <text>
        <r>
          <rPr>
            <sz val="11"/>
            <color theme="1"/>
            <rFont val="맑은 고딕"/>
            <family val="2"/>
            <charset val="129"/>
            <scheme val="minor"/>
          </rPr>
          <t>476/756 (trace, item) pairs; traces=126; no threshold</t>
        </r>
      </text>
    </comment>
    <comment ref="G18" authorId="0" shapeId="0" xr:uid="{00000000-0006-0000-0200-000027000000}">
      <text>
        <r>
          <rPr>
            <sz val="11"/>
            <color theme="1"/>
            <rFont val="맑은 고딕"/>
            <family val="2"/>
            <charset val="129"/>
            <scheme val="minor"/>
          </rPr>
          <t>11/1512 (trace, item) pairs; traces=126; no threshold</t>
        </r>
      </text>
    </comment>
    <comment ref="H18" authorId="0" shapeId="0" xr:uid="{00000000-0006-0000-0200-000028000000}">
      <text>
        <r>
          <rPr>
            <sz val="11"/>
            <color theme="1"/>
            <rFont val="맑은 고딕"/>
            <family val="2"/>
            <charset val="129"/>
            <scheme val="minor"/>
          </rPr>
          <t>487/2268 (trace, item) pairs; traces=126; no threshold</t>
        </r>
      </text>
    </comment>
    <comment ref="F19" authorId="0" shapeId="0" xr:uid="{00000000-0006-0000-0200-000029000000}">
      <text>
        <r>
          <rPr>
            <sz val="11"/>
            <color theme="1"/>
            <rFont val="맑은 고딕"/>
            <family val="2"/>
            <charset val="129"/>
            <scheme val="minor"/>
          </rPr>
          <t>279/348 (trace, item) pairs; traces=58; no threshold</t>
        </r>
      </text>
    </comment>
    <comment ref="G19" authorId="0" shapeId="0" xr:uid="{00000000-0006-0000-0200-00002A000000}">
      <text>
        <r>
          <rPr>
            <sz val="11"/>
            <color theme="1"/>
            <rFont val="맑은 고딕"/>
            <family val="2"/>
            <charset val="129"/>
            <scheme val="minor"/>
          </rPr>
          <t>578/696 (trace, item) pairs; traces=58; no threshold</t>
        </r>
      </text>
    </comment>
    <comment ref="H19" authorId="0" shapeId="0" xr:uid="{00000000-0006-0000-0200-00002B000000}">
      <text>
        <r>
          <rPr>
            <sz val="11"/>
            <color theme="1"/>
            <rFont val="맑은 고딕"/>
            <family val="2"/>
            <charset val="129"/>
            <scheme val="minor"/>
          </rPr>
          <t>857/1044 (trace, item) pairs; traces=58; no threshold</t>
        </r>
      </text>
    </comment>
    <comment ref="F20" authorId="0" shapeId="0" xr:uid="{00000000-0006-0000-0200-00002C000000}">
      <text>
        <r>
          <rPr>
            <sz val="11"/>
            <color theme="1"/>
            <rFont val="맑은 고딕"/>
            <family val="2"/>
            <charset val="129"/>
            <scheme val="minor"/>
          </rPr>
          <t>638/702 (trace, item) pairs; traces=117; no threshold</t>
        </r>
      </text>
    </comment>
    <comment ref="G20" authorId="0" shapeId="0" xr:uid="{00000000-0006-0000-0200-00002D000000}">
      <text>
        <r>
          <rPr>
            <sz val="11"/>
            <color theme="1"/>
            <rFont val="맑은 고딕"/>
            <family val="2"/>
            <charset val="129"/>
            <scheme val="minor"/>
          </rPr>
          <t>1146/1404 (trace, item) pairs; traces=117; no threshold</t>
        </r>
      </text>
    </comment>
    <comment ref="H20" authorId="0" shapeId="0" xr:uid="{00000000-0006-0000-0200-00002E000000}">
      <text>
        <r>
          <rPr>
            <sz val="11"/>
            <color theme="1"/>
            <rFont val="맑은 고딕"/>
            <family val="2"/>
            <charset val="129"/>
            <scheme val="minor"/>
          </rPr>
          <t>1784/2106 (trace, item) pairs; traces=117; no threshold</t>
        </r>
      </text>
    </comment>
    <comment ref="F21" authorId="0" shapeId="0" xr:uid="{00000000-0006-0000-0200-00002F000000}">
      <text>
        <r>
          <rPr>
            <sz val="11"/>
            <color theme="1"/>
            <rFont val="맑은 고딕"/>
            <family val="2"/>
            <charset val="129"/>
            <scheme val="minor"/>
          </rPr>
          <t>150/186 (trace, item) pairs; traces=31; no threshold</t>
        </r>
      </text>
    </comment>
    <comment ref="G21" authorId="0" shapeId="0" xr:uid="{00000000-0006-0000-0200-000030000000}">
      <text>
        <r>
          <rPr>
            <sz val="11"/>
            <color theme="1"/>
            <rFont val="맑은 고딕"/>
            <family val="2"/>
            <charset val="129"/>
            <scheme val="minor"/>
          </rPr>
          <t>30/372 (trace, item) pairs; traces=31; no threshold</t>
        </r>
      </text>
    </comment>
    <comment ref="H21" authorId="0" shapeId="0" xr:uid="{00000000-0006-0000-0200-000031000000}">
      <text>
        <r>
          <rPr>
            <sz val="11"/>
            <color theme="1"/>
            <rFont val="맑은 고딕"/>
            <family val="2"/>
            <charset val="129"/>
            <scheme val="minor"/>
          </rPr>
          <t>180/558 (trace, item) pairs; traces=31; no threshold</t>
        </r>
      </text>
    </comment>
    <comment ref="E28" authorId="0" shapeId="0" xr:uid="{00000000-0006-0000-0200-000032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F28" authorId="0" shapeId="0" xr:uid="{00000000-0006-0000-0200-000033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G28" authorId="0" shapeId="0" xr:uid="{00000000-0006-0000-0200-000034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H28" authorId="0" shapeId="0" xr:uid="{00000000-0006-0000-0200-000035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n=126; adjusted n=124</t>
        </r>
      </text>
    </comment>
    <comment ref="E29" authorId="0" shapeId="0" xr:uid="{00000000-0006-0000-0200-000036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F29" authorId="0" shapeId="0" xr:uid="{00000000-0006-0000-0200-000037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G29" authorId="0" shapeId="0" xr:uid="{00000000-0006-0000-0200-000038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H29" authorId="0" shapeId="0" xr:uid="{00000000-0006-0000-0200-000039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n=58; adjusted n=58</t>
        </r>
      </text>
    </comment>
    <comment ref="E30" authorId="0" shapeId="0" xr:uid="{00000000-0006-0000-0200-00003A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F30" authorId="0" shapeId="0" xr:uid="{00000000-0006-0000-0200-00003B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G30" authorId="0" shapeId="0" xr:uid="{00000000-0006-0000-0200-00003C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  <comment ref="H30" authorId="0" shapeId="0" xr:uid="{00000000-0006-0000-0200-00003D000000}">
      <text>
        <r>
          <rPr>
            <sz val="11"/>
            <color theme="1"/>
            <rFont val="맑은 고딕"/>
            <family val="2"/>
            <charset val="129"/>
            <scheme val="minor"/>
          </rPr>
          <t>raw n=184; adjusted n=182</t>
        </r>
      </text>
    </comment>
  </commentList>
</comments>
</file>

<file path=xl/sharedStrings.xml><?xml version="1.0" encoding="utf-8"?>
<sst xmlns="http://schemas.openxmlformats.org/spreadsheetml/2006/main" count="465" uniqueCount="110">
  <si>
    <t>결정적 오류 단계 식별 지표</t>
  </si>
  <si>
    <t>항목</t>
  </si>
  <si>
    <t>ALFWorld</t>
  </si>
  <si>
    <t>WebShop</t>
  </si>
  <si>
    <t>GAIA</t>
  </si>
  <si>
    <t>W&amp;W(AG)</t>
  </si>
  <si>
    <t>W&amp;W(HC)</t>
  </si>
  <si>
    <t>기록 정보</t>
  </si>
  <si>
    <t>Step Accuracy</t>
  </si>
  <si>
    <t>Step Accuracy(Tolerance +-5)</t>
  </si>
  <si>
    <t>L0-01</t>
  </si>
  <si>
    <t>과제 명세(목표·제약)가 로그에 포함되는가</t>
  </si>
  <si>
    <t>All at Once</t>
  </si>
  <si>
    <t>Checklist</t>
  </si>
  <si>
    <t>L0-02</t>
  </si>
  <si>
    <t>각 단계의 경계가 명확히 식별되는가</t>
  </si>
  <si>
    <t>AEB(ALFWorld)</t>
  </si>
  <si>
    <t>L0-03</t>
  </si>
  <si>
    <t>단계마다 모듈별 출력이 나뉘어 기록되는가</t>
  </si>
  <si>
    <t>AEB(WebShop)</t>
  </si>
  <si>
    <t>L0-04</t>
  </si>
  <si>
    <t>행동의 결과가 기록되는가</t>
  </si>
  <si>
    <t>AEB(GAIA)</t>
  </si>
  <si>
    <t>L0-05</t>
  </si>
  <si>
    <t>도구/API 응답이 가공 이전 상태로 보존되는가</t>
  </si>
  <si>
    <t>AEB Overall</t>
  </si>
  <si>
    <t>L0-06</t>
  </si>
  <si>
    <t>모델·토큰·지연·한도 등 시스템 정보가 기록되는가</t>
  </si>
  <si>
    <t>Who&amp;When(AG)</t>
  </si>
  <si>
    <t>Who&amp;When(HC)</t>
  </si>
  <si>
    <t>오류 유형</t>
  </si>
  <si>
    <t>Who&amp;When Overall</t>
  </si>
  <si>
    <t>L1-01</t>
  </si>
  <si>
    <t xml:space="preserve">목표를 달성하지 못한 채 step 한도에 도달하여 종료되는가 </t>
  </si>
  <si>
    <t>L1-02</t>
  </si>
  <si>
    <t xml:space="preserve">행동이 형식 오류로 실행되지 못하는가 </t>
  </si>
  <si>
    <t>궤적·항목 단위의 판정 가능 비율</t>
  </si>
  <si>
    <t>L1-03</t>
  </si>
  <si>
    <t xml:space="preserve">행동이 환경·도구의 문제로 실패하는가 </t>
  </si>
  <si>
    <t>데이터</t>
  </si>
  <si>
    <t>궤적 수</t>
  </si>
  <si>
    <t>L1 판정 가능</t>
  </si>
  <si>
    <t>L2 판정 가능</t>
  </si>
  <si>
    <t>AEB/ALFWorld</t>
  </si>
  <si>
    <t>AEB/WebShop</t>
  </si>
  <si>
    <t>L2-M1</t>
  </si>
  <si>
    <t xml:space="preserve">이전 기록과 어긋나는 내용을 사실로 진술하는가 </t>
  </si>
  <si>
    <t>AEB/GAIA</t>
  </si>
  <si>
    <t>L2-M2</t>
  </si>
  <si>
    <t xml:space="preserve">이전 기록에 있는 정보를 활용하지 못하는가 </t>
  </si>
  <si>
    <t>Who&amp;When/AG</t>
  </si>
  <si>
    <t>L2-R1</t>
  </si>
  <si>
    <t xml:space="preserve">누적된 진행 정도를 실제와 다르게 판단하는가 </t>
  </si>
  <si>
    <t>Who&amp;When/HC</t>
  </si>
  <si>
    <t>L2-R2</t>
  </si>
  <si>
    <t xml:space="preserve">직전 행동의 결과를 잘못 해석하는가 </t>
  </si>
  <si>
    <t>L2-P1</t>
  </si>
  <si>
    <t xml:space="preserve">과제 명세를 위반하는 계획을 수립하는가 </t>
  </si>
  <si>
    <t>L2-P2</t>
  </si>
  <si>
    <t xml:space="preserve">현재 상태에서 실행 불가능한 행동을 계획하는가 </t>
  </si>
  <si>
    <t>L2-P3</t>
  </si>
  <si>
    <t xml:space="preserve">실패를 확인했음에도 다른 전략으로 전환하지 않는가 </t>
  </si>
  <si>
    <t>L2-A1</t>
  </si>
  <si>
    <t xml:space="preserve">계획한 것과 다른 행동을 실행하는가 </t>
  </si>
  <si>
    <t>L2-A2</t>
  </si>
  <si>
    <t xml:space="preserve">행동의 대상이나 값이 잘못 지정되는가 </t>
  </si>
  <si>
    <t>Step Accuracy(Tolerance +-3)</t>
  </si>
  <si>
    <t>벤치마크</t>
  </si>
  <si>
    <t>서브셋</t>
  </si>
  <si>
    <t>L0</t>
  </si>
  <si>
    <t>L1</t>
  </si>
  <si>
    <t>L2</t>
  </si>
  <si>
    <t xml:space="preserve"> </t>
  </si>
  <si>
    <t>AEB</t>
  </si>
  <si>
    <t>Who&amp;When</t>
  </si>
  <si>
    <t>AG</t>
  </si>
  <si>
    <t>HC</t>
  </si>
  <si>
    <t>Adjusted Accuracy</t>
  </si>
  <si>
    <t>카테고리</t>
  </si>
  <si>
    <t>L0 (6개)</t>
  </si>
  <si>
    <t>L1+L2 (12개)</t>
  </si>
  <si>
    <t>전체 (18개)</t>
  </si>
  <si>
    <t>Agent Accuracy</t>
  </si>
  <si>
    <t>계산 기준: 저장된 Gemini 3.7 Flash 결과를 현재 evaluate.py로 재집계. Tolerance 사용 안 함.</t>
  </si>
  <si>
    <t>보정 accuracy = trace별 (hit − 1/N) / (1 − 1/N)의 평균. Step은 N=T, Agent는 N=K.</t>
  </si>
  <si>
    <t>Raw accuracy는 %, 보정 accuracy는 소수. 우연 수준 0, 완전 일치 1. 음수 유지; N≤1은 보정 평균에서만 제외.</t>
  </si>
  <si>
    <t>Agent 이름은 대소문자/공백 정규화; Orchestrator 활동 접미사는 합침. K는 정규화된 후보 이름 수.</t>
  </si>
  <si>
    <t>Coverage = 기록/판단 가능한 (trace, 항목) 쌍 수 / 전체 쌍 수. 임계값 없음. L1+L2는 12개 항목의 판단 건수를 합산.</t>
  </si>
  <si>
    <t>L0: true 수/(trace 수×6). L1+L2: (ERROR+NO_ERROR) 수/(trace 수×12). 전체: 합계/(trace 수×18). 오른쪽은 항목별 실제 비율.</t>
  </si>
  <si>
    <t>TRAIL 148건은 현재 정답 데이터에 없어 accuracy 제외, coverage만 표시. AgentRx는 해당 Gemini 결과 파일에 없음.</t>
  </si>
  <si>
    <t>출처: attr_aao_google_gemini-3.7-flash.jsonl / attr_ckl_google_gemini-3.7-flash.jsonl / ckl_google_gemini-3.7-flash.jsonl</t>
  </si>
  <si>
    <t>Coverage</t>
    <phoneticPr fontId="2" type="noConversion"/>
  </si>
  <si>
    <t>Step Accuracy</t>
    <phoneticPr fontId="2" type="noConversion"/>
  </si>
  <si>
    <t>Agent Accuracy</t>
    <phoneticPr fontId="2" type="noConversion"/>
  </si>
  <si>
    <t>데이터셋</t>
  </si>
  <si>
    <t>All-at-Once (%)</t>
  </si>
  <si>
    <t>Checklist (%)</t>
  </si>
  <si>
    <t>증감 (%p)</t>
  </si>
  <si>
    <t>Overall</t>
  </si>
  <si>
    <t>Table 1. 체크리스트 적용에 따른 실패 정확도 비교</t>
    <phoneticPr fontId="2" type="noConversion"/>
  </si>
  <si>
    <t>Algorithm Generated</t>
    <phoneticPr fontId="2" type="noConversion"/>
  </si>
  <si>
    <t>Hand Crafted</t>
    <phoneticPr fontId="2" type="noConversion"/>
  </si>
  <si>
    <t>진단 Coverage (%)</t>
  </si>
  <si>
    <t>AEB</t>
    <phoneticPr fontId="2" type="noConversion"/>
  </si>
  <si>
    <t>Who&amp;When</t>
    <phoneticPr fontId="2" type="noConversion"/>
  </si>
  <si>
    <t>Table 2. Coverage와 Step Accuracy 향상 폭 비교</t>
    <phoneticPr fontId="2" type="noConversion"/>
  </si>
  <si>
    <t>Step Accuracy 향상 (%p)</t>
    <phoneticPr fontId="2" type="noConversion"/>
  </si>
  <si>
    <t>+3.5</t>
    <phoneticPr fontId="2" type="noConversion"/>
  </si>
  <si>
    <t>+7.0</t>
    <phoneticPr fontId="2" type="noConversion"/>
  </si>
  <si>
    <t>+4.0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</si>
</sst>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0"/>
    <numFmt numFmtId="178" formatCode="\+0.0;\-0.0;0.0"/>
  </numFmts>
  <fonts count="1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name val="Carlito"/>
    </font>
    <font>
      <b/>
      <sz val="11"/>
      <color rgb="FF182735"/>
      <name val="맑은 고딕"/>
      <family val="3"/>
      <charset val="129"/>
      <scheme val="minor"/>
    </font>
    <font>
      <sz val="11"/>
      <color rgb="FF18273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9" tint="-0.49998474074526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A6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4" fillId="0" borderId="0" xfId="0" applyFont="1" applyAlignment="1">
      <alignment vertical="center" wrapText="1"/>
    </xf>
    <xf numFmtId="0" fontId="0" fillId="0" borderId="0" xfId="0" applyAlignment="1"/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/>
    <xf numFmtId="0" fontId="8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Border="1" applyAlignment="1"/>
    <xf numFmtId="0" fontId="3" fillId="0" borderId="1" xfId="0" applyFont="1" applyBorder="1" applyAlignment="1">
      <alignment horizont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8" fontId="7" fillId="5" borderId="1" xfId="1" applyNumberFormat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176" fontId="6" fillId="6" borderId="1" xfId="1" applyNumberFormat="1" applyFont="1" applyFill="1" applyBorder="1" applyAlignment="1">
      <alignment horizontal="center" vertical="center"/>
    </xf>
    <xf numFmtId="178" fontId="6" fillId="6" borderId="1" xfId="1" applyNumberFormat="1" applyFont="1" applyFill="1" applyBorder="1" applyAlignment="1">
      <alignment horizontal="center" vertical="center"/>
    </xf>
    <xf numFmtId="176" fontId="7" fillId="6" borderId="1" xfId="1" applyNumberFormat="1" applyFont="1" applyFill="1" applyBorder="1" applyAlignment="1">
      <alignment horizontal="center" vertical="center"/>
    </xf>
    <xf numFmtId="176" fontId="6" fillId="5" borderId="1" xfId="1" applyNumberFormat="1" applyFont="1" applyFill="1" applyBorder="1" applyAlignment="1">
      <alignment horizontal="center" vertical="center"/>
    </xf>
    <xf numFmtId="49" fontId="7" fillId="5" borderId="1" xfId="1" applyNumberFormat="1" applyFont="1" applyFill="1" applyBorder="1" applyAlignment="1">
      <alignment horizontal="center" vertical="center"/>
    </xf>
    <xf numFmtId="49" fontId="9" fillId="7" borderId="1" xfId="1" applyNumberFormat="1" applyFont="1" applyFill="1" applyBorder="1" applyAlignment="1">
      <alignment horizontal="center" vertical="center"/>
    </xf>
  </cellXfs>
  <cellStyles count="2">
    <cellStyle name="Normal" xfId="1" xr:uid="{9AF09701-51A9-4E8B-A307-7BFF1755D248}"/>
    <cellStyle name="표준" xfId="0" builtinId="0"/>
  </cellStyles>
  <dxfs count="10">
    <dxf>
      <font>
        <b/>
        <color rgb="FFA52A2A"/>
      </font>
      <fill>
        <patternFill patternType="solid">
          <bgColor rgb="FFFCE8E6"/>
        </patternFill>
      </fill>
    </dxf>
    <dxf>
      <font>
        <b/>
        <color rgb="FF225E30"/>
      </font>
      <fill>
        <patternFill patternType="solid">
          <bgColor rgb="FFE8F2E8"/>
        </patternFill>
      </fill>
    </dxf>
    <dxf>
      <font>
        <b/>
        <color rgb="FFA52A2A"/>
      </font>
      <fill>
        <patternFill patternType="solid">
          <bgColor rgb="FFFCE8E6"/>
        </patternFill>
      </fill>
    </dxf>
    <dxf>
      <font>
        <b/>
        <color rgb="FF225E30"/>
      </font>
      <fill>
        <patternFill patternType="solid">
          <bgColor rgb="FFE8F2E8"/>
        </patternFill>
      </fill>
    </dxf>
    <dxf>
      <font>
        <b/>
        <color rgb="FFA52A2A"/>
      </font>
      <fill>
        <patternFill patternType="solid">
          <bgColor rgb="FFFCE8E6"/>
        </patternFill>
      </fill>
    </dxf>
    <dxf>
      <font>
        <b/>
        <color rgb="FF225E30"/>
      </font>
      <fill>
        <patternFill patternType="solid">
          <bgColor rgb="FFE8F2E8"/>
        </patternFill>
      </fill>
    </dxf>
    <dxf>
      <font>
        <b/>
        <color rgb="FFA52A2A"/>
      </font>
      <fill>
        <patternFill patternType="solid">
          <bgColor rgb="FFFCE8E6"/>
        </patternFill>
      </fill>
    </dxf>
    <dxf>
      <font>
        <b/>
        <color rgb="FF225E30"/>
      </font>
      <fill>
        <patternFill patternType="solid">
          <bgColor rgb="FFE8F2E8"/>
        </patternFill>
      </fill>
    </dxf>
    <dxf>
      <font>
        <b/>
        <color rgb="FFA52A2A"/>
      </font>
      <fill>
        <patternFill patternType="solid">
          <bgColor rgb="FFFCE8E6"/>
        </patternFill>
      </fill>
    </dxf>
    <dxf>
      <font>
        <b/>
        <color rgb="FF225E30"/>
      </font>
      <fill>
        <patternFill patternType="solid">
          <bgColor rgb="FFE8F2E8"/>
        </patternFill>
      </fill>
    </dxf>
  </dxfs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0C7B-7752-4BB3-9083-1D920B926A3A}">
  <sheetPr>
    <pageSetUpPr fitToPage="1"/>
  </sheetPr>
  <dimension ref="A3:R50"/>
  <sheetViews>
    <sheetView zoomScale="75" workbookViewId="0">
      <selection activeCell="B31" sqref="B31"/>
    </sheetView>
  </sheetViews>
  <sheetFormatPr defaultRowHeight="16.5"/>
  <cols>
    <col min="4" max="4" width="27" style="16" customWidth="1"/>
    <col min="5" max="8" width="22" style="16" customWidth="1"/>
    <col min="10" max="10" width="22" style="16" bestFit="1" customWidth="1"/>
    <col min="11" max="12" width="17" style="16" customWidth="1"/>
    <col min="13" max="14" width="17" style="16" bestFit="1" customWidth="1"/>
    <col min="15" max="15" width="17" style="16" customWidth="1"/>
    <col min="16" max="16" width="68" style="16" customWidth="1"/>
    <col min="17" max="17" width="57.625" style="16" customWidth="1"/>
    <col min="18" max="18" width="53.25" style="16" customWidth="1"/>
  </cols>
  <sheetData>
    <row r="3" spans="1:16" ht="20.100000000000001" customHeight="1">
      <c r="D3" s="28" t="s">
        <v>92</v>
      </c>
      <c r="E3" s="29"/>
      <c r="F3" s="29"/>
      <c r="G3" s="29"/>
      <c r="H3" s="27"/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</row>
    <row r="4" spans="1:16" ht="32.1" customHeight="1">
      <c r="A4" s="17"/>
      <c r="B4" s="17"/>
      <c r="C4" s="17"/>
      <c r="D4" s="9"/>
      <c r="E4" s="36" t="s">
        <v>8</v>
      </c>
      <c r="F4" s="27"/>
      <c r="G4" s="36" t="s">
        <v>77</v>
      </c>
      <c r="H4" s="27"/>
      <c r="I4" s="17"/>
      <c r="J4" s="9" t="s">
        <v>10</v>
      </c>
      <c r="K4" s="20">
        <v>1</v>
      </c>
      <c r="L4" s="20">
        <v>1</v>
      </c>
      <c r="M4" s="20">
        <v>1</v>
      </c>
      <c r="N4" s="20">
        <v>1</v>
      </c>
      <c r="O4" s="20">
        <v>1</v>
      </c>
      <c r="P4" s="8" t="s">
        <v>11</v>
      </c>
    </row>
    <row r="5" spans="1:16" ht="20.100000000000001" customHeight="1">
      <c r="D5" s="5"/>
      <c r="E5" s="5" t="s">
        <v>12</v>
      </c>
      <c r="F5" s="5" t="s">
        <v>13</v>
      </c>
      <c r="G5" s="5" t="s">
        <v>12</v>
      </c>
      <c r="H5" s="5" t="s">
        <v>13</v>
      </c>
      <c r="J5" s="9" t="s">
        <v>14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8" t="s">
        <v>15</v>
      </c>
    </row>
    <row r="6" spans="1:16" ht="20.100000000000001" customHeight="1">
      <c r="D6" s="5" t="s">
        <v>16</v>
      </c>
      <c r="E6" s="18">
        <v>0.17</v>
      </c>
      <c r="F6" s="18">
        <v>0.24</v>
      </c>
      <c r="G6" s="19">
        <v>0.14137931034482731</v>
      </c>
      <c r="H6" s="19">
        <v>0.2137931034482756</v>
      </c>
      <c r="J6" s="9" t="s">
        <v>17</v>
      </c>
      <c r="K6" s="20">
        <v>1</v>
      </c>
      <c r="L6" s="20">
        <v>1</v>
      </c>
      <c r="M6" s="20">
        <v>0.98</v>
      </c>
      <c r="N6" s="20">
        <v>7.9365079365079361E-3</v>
      </c>
      <c r="O6" s="20">
        <v>1</v>
      </c>
      <c r="P6" s="8" t="s">
        <v>18</v>
      </c>
    </row>
    <row r="7" spans="1:16" ht="20.100000000000001" customHeight="1">
      <c r="D7" s="5" t="s">
        <v>22</v>
      </c>
      <c r="E7" s="18">
        <v>0.32653061224489788</v>
      </c>
      <c r="F7" s="18">
        <v>0.36734693877551022</v>
      </c>
      <c r="G7" s="19">
        <v>0.14459114770635151</v>
      </c>
      <c r="H7" s="19">
        <v>0.19568692692713069</v>
      </c>
      <c r="J7" s="9" t="s">
        <v>20</v>
      </c>
      <c r="K7" s="20">
        <v>0.89</v>
      </c>
      <c r="L7" s="20">
        <v>0.66</v>
      </c>
      <c r="M7" s="20">
        <v>0.88</v>
      </c>
      <c r="N7" s="20">
        <v>0.92063492063492058</v>
      </c>
      <c r="O7" s="20">
        <v>1</v>
      </c>
      <c r="P7" s="8" t="s">
        <v>21</v>
      </c>
    </row>
    <row r="8" spans="1:16" ht="20.100000000000001" customHeight="1">
      <c r="D8" s="12" t="s">
        <v>25</v>
      </c>
      <c r="E8" s="21">
        <v>0.24120603015075379</v>
      </c>
      <c r="F8" s="21">
        <v>0.28140703517587939</v>
      </c>
      <c r="G8" s="22">
        <v>0.1745136251956089</v>
      </c>
      <c r="H8" s="22">
        <v>0.21852622401401989</v>
      </c>
      <c r="J8" s="9" t="s">
        <v>23</v>
      </c>
      <c r="K8" s="20">
        <v>1</v>
      </c>
      <c r="L8" s="20">
        <v>0.8</v>
      </c>
      <c r="M8" s="20">
        <v>0.88</v>
      </c>
      <c r="N8" s="20">
        <v>0.84920634920634919</v>
      </c>
      <c r="O8" s="20">
        <v>0.15517241379310351</v>
      </c>
      <c r="P8" s="8" t="s">
        <v>24</v>
      </c>
    </row>
    <row r="9" spans="1:16" ht="20.100000000000001" customHeight="1">
      <c r="D9" s="5" t="s">
        <v>28</v>
      </c>
      <c r="E9" s="18">
        <v>0.5</v>
      </c>
      <c r="F9" s="18">
        <v>0.5</v>
      </c>
      <c r="G9" s="19">
        <v>0.43634731670445942</v>
      </c>
      <c r="H9" s="19">
        <v>0.43699609473418982</v>
      </c>
      <c r="J9" s="9" t="s">
        <v>26</v>
      </c>
      <c r="K9" s="20">
        <v>1</v>
      </c>
      <c r="L9" s="20">
        <v>1</v>
      </c>
      <c r="M9" s="20">
        <v>1</v>
      </c>
      <c r="N9" s="20">
        <v>0</v>
      </c>
      <c r="O9" s="20">
        <v>0.65517241379310343</v>
      </c>
      <c r="P9" s="8" t="s">
        <v>27</v>
      </c>
    </row>
    <row r="10" spans="1:16" ht="20.100000000000001" customHeight="1">
      <c r="D10" s="5" t="s">
        <v>29</v>
      </c>
      <c r="E10" s="18">
        <v>0.2413793103448276</v>
      </c>
      <c r="F10" s="18">
        <v>0.27586206896551718</v>
      </c>
      <c r="G10" s="19">
        <v>0.22095672284229409</v>
      </c>
      <c r="H10" s="19">
        <v>0.25642357339324751</v>
      </c>
      <c r="J10" s="4"/>
      <c r="K10" s="4"/>
      <c r="L10" s="4"/>
      <c r="M10" s="4"/>
      <c r="N10" s="4"/>
      <c r="O10" s="4"/>
    </row>
    <row r="11" spans="1:16" ht="20.100000000000001" customHeight="1">
      <c r="D11" s="12" t="s">
        <v>31</v>
      </c>
      <c r="E11" s="21">
        <v>0.41847826086956519</v>
      </c>
      <c r="F11" s="21">
        <v>0.42934782608695649</v>
      </c>
      <c r="G11" s="22">
        <v>0.36845245559573342</v>
      </c>
      <c r="H11" s="22">
        <v>0.38007649561584927</v>
      </c>
      <c r="J11" s="7" t="s">
        <v>1</v>
      </c>
      <c r="K11" s="7" t="s">
        <v>2</v>
      </c>
      <c r="L11" s="7" t="s">
        <v>3</v>
      </c>
      <c r="M11" s="7" t="s">
        <v>4</v>
      </c>
      <c r="N11" s="7" t="s">
        <v>5</v>
      </c>
      <c r="O11" s="7" t="s">
        <v>6</v>
      </c>
      <c r="P11" s="7" t="s">
        <v>30</v>
      </c>
    </row>
    <row r="12" spans="1:16" ht="20.100000000000001" customHeight="1">
      <c r="J12" s="9" t="s">
        <v>32</v>
      </c>
      <c r="K12" s="20">
        <v>1</v>
      </c>
      <c r="L12" s="20">
        <v>1</v>
      </c>
      <c r="M12" s="20">
        <v>1</v>
      </c>
      <c r="N12" s="20">
        <v>0</v>
      </c>
      <c r="O12" s="20">
        <v>0.65517241379310343</v>
      </c>
      <c r="P12" s="8" t="s">
        <v>33</v>
      </c>
    </row>
    <row r="13" spans="1:16" ht="20.100000000000001" customHeight="1">
      <c r="J13" s="9" t="s">
        <v>34</v>
      </c>
      <c r="K13" s="20">
        <v>1</v>
      </c>
      <c r="L13" s="20">
        <v>0.8</v>
      </c>
      <c r="M13" s="20">
        <v>0.88</v>
      </c>
      <c r="N13" s="20">
        <v>7.9365079365079361E-3</v>
      </c>
      <c r="O13" s="20">
        <v>0.15517241379310351</v>
      </c>
      <c r="P13" s="8" t="s">
        <v>35</v>
      </c>
    </row>
    <row r="14" spans="1:16" ht="20.100000000000001" customHeight="1">
      <c r="D14" s="28" t="s">
        <v>91</v>
      </c>
      <c r="E14" s="29"/>
      <c r="F14" s="29"/>
      <c r="G14" s="29"/>
      <c r="H14" s="27"/>
      <c r="J14" s="9" t="s">
        <v>37</v>
      </c>
      <c r="K14" s="20">
        <v>1</v>
      </c>
      <c r="L14" s="20">
        <v>0.8</v>
      </c>
      <c r="M14" s="20">
        <v>0.88</v>
      </c>
      <c r="N14" s="20">
        <v>7.9365079365079361E-3</v>
      </c>
      <c r="O14" s="20">
        <v>0.15517241379310351</v>
      </c>
      <c r="P14" s="8" t="s">
        <v>38</v>
      </c>
    </row>
    <row r="15" spans="1:16" ht="32.1" customHeight="1">
      <c r="A15" s="17"/>
      <c r="B15" s="17"/>
      <c r="C15" s="17"/>
      <c r="D15" s="7" t="s">
        <v>67</v>
      </c>
      <c r="E15" s="7" t="s">
        <v>78</v>
      </c>
      <c r="F15" s="7" t="s">
        <v>79</v>
      </c>
      <c r="G15" s="7" t="s">
        <v>80</v>
      </c>
      <c r="H15" s="7" t="s">
        <v>81</v>
      </c>
      <c r="I15" s="17"/>
      <c r="J15" s="23"/>
      <c r="K15" s="23"/>
      <c r="L15" s="23"/>
      <c r="M15" s="23"/>
      <c r="N15" s="23"/>
      <c r="O15" s="23"/>
      <c r="P15" s="2"/>
    </row>
    <row r="16" spans="1:16" ht="20.100000000000001" customHeight="1">
      <c r="D16" s="9" t="s">
        <v>73</v>
      </c>
      <c r="E16" s="9" t="s">
        <v>2</v>
      </c>
      <c r="F16" s="24">
        <v>0.98166666666666669</v>
      </c>
      <c r="G16" s="24">
        <v>0.93583333333333329</v>
      </c>
      <c r="H16" s="24">
        <v>0.95111111111111113</v>
      </c>
      <c r="J16" s="7" t="s">
        <v>1</v>
      </c>
      <c r="K16" s="7" t="s">
        <v>2</v>
      </c>
      <c r="L16" s="7" t="s">
        <v>3</v>
      </c>
      <c r="M16" s="7" t="s">
        <v>4</v>
      </c>
      <c r="N16" s="7" t="s">
        <v>5</v>
      </c>
      <c r="O16" s="7" t="s">
        <v>6</v>
      </c>
      <c r="P16" s="7" t="s">
        <v>30</v>
      </c>
    </row>
    <row r="17" spans="1:16" ht="20.100000000000001" customHeight="1">
      <c r="D17" s="9" t="s">
        <v>73</v>
      </c>
      <c r="E17" s="9" t="s">
        <v>4</v>
      </c>
      <c r="F17" s="24">
        <v>0.95666666666666667</v>
      </c>
      <c r="G17" s="24">
        <v>0.90666666666666662</v>
      </c>
      <c r="H17" s="24">
        <v>0.92333333333333334</v>
      </c>
      <c r="J17" s="9" t="s">
        <v>45</v>
      </c>
      <c r="K17" s="20">
        <v>0.89</v>
      </c>
      <c r="L17" s="20">
        <v>0.66</v>
      </c>
      <c r="M17" s="20">
        <v>0.88</v>
      </c>
      <c r="N17" s="20">
        <v>7.9365079365079361E-3</v>
      </c>
      <c r="O17" s="20">
        <v>1</v>
      </c>
      <c r="P17" s="8" t="s">
        <v>46</v>
      </c>
    </row>
    <row r="18" spans="1:16" ht="20.100000000000001" customHeight="1">
      <c r="A18" s="1"/>
      <c r="B18" s="1"/>
      <c r="C18" s="1"/>
      <c r="D18" s="9" t="s">
        <v>74</v>
      </c>
      <c r="E18" s="9" t="s">
        <v>75</v>
      </c>
      <c r="F18" s="24">
        <v>0.62962962962962965</v>
      </c>
      <c r="G18" s="24">
        <v>7.2751322751322704E-3</v>
      </c>
      <c r="H18" s="24">
        <v>0.21472663139329809</v>
      </c>
      <c r="J18" s="9" t="s">
        <v>48</v>
      </c>
      <c r="K18" s="20">
        <v>0.89</v>
      </c>
      <c r="L18" s="20">
        <v>0.66</v>
      </c>
      <c r="M18" s="20">
        <v>0.88</v>
      </c>
      <c r="N18" s="20">
        <v>7.9365079365079361E-3</v>
      </c>
      <c r="O18" s="20">
        <v>1</v>
      </c>
      <c r="P18" s="8" t="s">
        <v>49</v>
      </c>
    </row>
    <row r="19" spans="1:16" ht="20.100000000000001" customHeight="1">
      <c r="A19" s="2"/>
      <c r="B19" s="2"/>
      <c r="C19" s="2"/>
      <c r="D19" s="9" t="s">
        <v>74</v>
      </c>
      <c r="E19" s="9" t="s">
        <v>76</v>
      </c>
      <c r="F19" s="24">
        <v>0.80172413793103448</v>
      </c>
      <c r="G19" s="24">
        <v>0.83045977011494254</v>
      </c>
      <c r="H19" s="24">
        <v>0.82088122605363989</v>
      </c>
      <c r="J19" s="9" t="s">
        <v>51</v>
      </c>
      <c r="K19" s="20">
        <v>0.89</v>
      </c>
      <c r="L19" s="20">
        <v>0.66</v>
      </c>
      <c r="M19" s="20">
        <v>0.88</v>
      </c>
      <c r="N19" s="20">
        <v>7.9365079365079361E-3</v>
      </c>
      <c r="O19" s="20">
        <v>1</v>
      </c>
      <c r="P19" s="8" t="s">
        <v>52</v>
      </c>
    </row>
    <row r="20" spans="1:16" ht="20.100000000000001" customHeight="1">
      <c r="A20" s="2"/>
      <c r="B20" s="2"/>
      <c r="C20" s="2"/>
      <c r="D20" s="9"/>
      <c r="E20" s="9"/>
      <c r="F20" s="24"/>
      <c r="G20" s="24"/>
      <c r="H20" s="24"/>
      <c r="J20" s="9" t="s">
        <v>54</v>
      </c>
      <c r="K20" s="20">
        <v>0.89</v>
      </c>
      <c r="L20" s="20">
        <v>0.66</v>
      </c>
      <c r="M20" s="20">
        <v>0.88</v>
      </c>
      <c r="N20" s="20">
        <v>7.9365079365079361E-3</v>
      </c>
      <c r="O20" s="20">
        <v>1</v>
      </c>
      <c r="P20" s="8" t="s">
        <v>55</v>
      </c>
    </row>
    <row r="21" spans="1:16" ht="20.100000000000001" customHeight="1">
      <c r="A21" s="2"/>
      <c r="B21" s="2"/>
      <c r="C21" s="2"/>
      <c r="D21" s="9"/>
      <c r="E21" s="9"/>
      <c r="F21" s="24"/>
      <c r="G21" s="24"/>
      <c r="H21" s="24"/>
      <c r="J21" s="9" t="s">
        <v>56</v>
      </c>
      <c r="K21" s="20">
        <v>1</v>
      </c>
      <c r="L21" s="20">
        <v>1</v>
      </c>
      <c r="M21" s="20">
        <v>0.98</v>
      </c>
      <c r="N21" s="20">
        <v>7.9365079365079361E-3</v>
      </c>
      <c r="O21" s="20">
        <v>1</v>
      </c>
      <c r="P21" s="8" t="s">
        <v>57</v>
      </c>
    </row>
    <row r="22" spans="1:16" ht="20.100000000000001" customHeight="1">
      <c r="A22" s="3"/>
      <c r="B22" s="1"/>
      <c r="C22" s="1"/>
      <c r="J22" s="9" t="s">
        <v>58</v>
      </c>
      <c r="K22" s="20">
        <v>0.89</v>
      </c>
      <c r="L22" s="20">
        <v>0.66</v>
      </c>
      <c r="M22" s="20">
        <v>0.88</v>
      </c>
      <c r="N22" s="20">
        <v>7.9365079365079361E-3</v>
      </c>
      <c r="O22" s="20">
        <v>1</v>
      </c>
      <c r="P22" s="8" t="s">
        <v>59</v>
      </c>
    </row>
    <row r="23" spans="1:16" ht="20.100000000000001" customHeight="1">
      <c r="A23" s="2"/>
      <c r="B23" s="2"/>
      <c r="C23" s="2"/>
      <c r="D23" s="2"/>
      <c r="E23" s="2"/>
      <c r="F23" s="2"/>
      <c r="G23" s="2"/>
      <c r="H23" s="2"/>
      <c r="J23" s="9" t="s">
        <v>60</v>
      </c>
      <c r="K23" s="20">
        <v>0.89</v>
      </c>
      <c r="L23" s="20">
        <v>0.66</v>
      </c>
      <c r="M23" s="20">
        <v>0.88</v>
      </c>
      <c r="N23" s="20">
        <v>7.9365079365079361E-3</v>
      </c>
      <c r="O23" s="20">
        <v>1</v>
      </c>
      <c r="P23" s="8" t="s">
        <v>61</v>
      </c>
    </row>
    <row r="24" spans="1:16" ht="20.100000000000001" customHeight="1">
      <c r="A24" s="2"/>
      <c r="B24" s="2"/>
      <c r="C24" s="2"/>
      <c r="D24" s="2"/>
      <c r="E24" s="2"/>
      <c r="F24" s="2"/>
      <c r="G24" s="2"/>
      <c r="H24" s="2"/>
      <c r="J24" s="9" t="s">
        <v>62</v>
      </c>
      <c r="K24" s="20">
        <v>1</v>
      </c>
      <c r="L24" s="20">
        <v>1</v>
      </c>
      <c r="M24" s="20">
        <v>0.98</v>
      </c>
      <c r="N24" s="20">
        <v>7.9365079365079361E-3</v>
      </c>
      <c r="O24" s="20">
        <v>1</v>
      </c>
      <c r="P24" s="8" t="s">
        <v>63</v>
      </c>
    </row>
    <row r="25" spans="1:16" ht="20.100000000000001" customHeight="1">
      <c r="A25" s="3"/>
      <c r="B25" s="2"/>
      <c r="C25" s="2"/>
      <c r="D25" s="28" t="s">
        <v>93</v>
      </c>
      <c r="E25" s="29"/>
      <c r="F25" s="29"/>
      <c r="G25" s="29"/>
      <c r="H25" s="27"/>
      <c r="J25" s="9" t="s">
        <v>64</v>
      </c>
      <c r="K25" s="20">
        <v>0.89</v>
      </c>
      <c r="L25" s="20">
        <v>0.66</v>
      </c>
      <c r="M25" s="20">
        <v>0.88</v>
      </c>
      <c r="N25" s="20">
        <v>7.9365079365079361E-3</v>
      </c>
      <c r="O25" s="20">
        <v>1</v>
      </c>
      <c r="P25" s="8" t="s">
        <v>65</v>
      </c>
    </row>
    <row r="26" spans="1:16" ht="32.1" customHeight="1">
      <c r="A26" s="17"/>
      <c r="B26" s="3"/>
      <c r="C26" s="3"/>
      <c r="D26" s="9"/>
      <c r="E26" s="36" t="s">
        <v>82</v>
      </c>
      <c r="F26" s="27"/>
      <c r="G26" s="36" t="s">
        <v>77</v>
      </c>
      <c r="H26" s="27"/>
      <c r="I26" s="17"/>
      <c r="J26" s="2"/>
      <c r="K26" s="2"/>
      <c r="L26" s="3"/>
      <c r="M26" s="3"/>
      <c r="N26" s="3"/>
      <c r="O26" s="3"/>
      <c r="P26" s="3"/>
    </row>
    <row r="27" spans="1:16">
      <c r="B27" s="2"/>
      <c r="C27" s="2"/>
      <c r="D27" s="5"/>
      <c r="E27" s="5" t="s">
        <v>12</v>
      </c>
      <c r="F27" s="5" t="s">
        <v>13</v>
      </c>
      <c r="G27" s="5" t="s">
        <v>12</v>
      </c>
      <c r="H27" s="5" t="s">
        <v>13</v>
      </c>
      <c r="J27" s="2"/>
      <c r="K27" s="2"/>
      <c r="L27" s="3"/>
      <c r="M27" s="3"/>
      <c r="N27" s="3"/>
      <c r="O27" s="3"/>
      <c r="P27" s="3"/>
    </row>
    <row r="28" spans="1:16">
      <c r="B28" s="2"/>
      <c r="C28" s="2"/>
      <c r="D28" s="5" t="s">
        <v>28</v>
      </c>
      <c r="E28" s="18">
        <v>0.66666666666666663</v>
      </c>
      <c r="F28" s="18">
        <v>0.66666666666666663</v>
      </c>
      <c r="G28" s="19">
        <v>0.53494623655913998</v>
      </c>
      <c r="H28" s="19">
        <v>0.53494623655913953</v>
      </c>
      <c r="J28" s="37"/>
      <c r="K28" s="34"/>
      <c r="L28" s="34"/>
      <c r="M28" s="34"/>
      <c r="N28" s="34"/>
      <c r="O28" s="34"/>
      <c r="P28" s="34"/>
    </row>
    <row r="29" spans="1:16" ht="32.1" customHeight="1">
      <c r="A29" s="17"/>
      <c r="B29" s="3"/>
      <c r="C29" s="3"/>
      <c r="D29" s="9" t="s">
        <v>29</v>
      </c>
      <c r="E29" s="24">
        <v>0.60344827586206895</v>
      </c>
      <c r="F29" s="24">
        <v>0.55172413793103448</v>
      </c>
      <c r="G29" s="25">
        <v>0.44971264367816111</v>
      </c>
      <c r="H29" s="25">
        <v>0.3830459770114944</v>
      </c>
      <c r="I29" s="17"/>
      <c r="J29" s="1"/>
      <c r="K29" s="1"/>
      <c r="L29" s="1"/>
      <c r="M29" s="1"/>
      <c r="N29" s="1"/>
      <c r="O29" s="1"/>
      <c r="P29" s="1"/>
    </row>
    <row r="30" spans="1:16">
      <c r="D30" s="12" t="s">
        <v>31</v>
      </c>
      <c r="E30" s="21">
        <v>0.64673913043478259</v>
      </c>
      <c r="F30" s="21">
        <v>0.63043478260869568</v>
      </c>
      <c r="G30" s="22">
        <v>0.5077838827838832</v>
      </c>
      <c r="H30" s="22">
        <v>0.4865384615384617</v>
      </c>
      <c r="J30" s="23"/>
      <c r="K30" s="23"/>
      <c r="L30" s="23"/>
      <c r="M30" s="23"/>
      <c r="N30" s="23"/>
      <c r="O30" s="23"/>
      <c r="P30" s="2"/>
    </row>
    <row r="31" spans="1:16">
      <c r="I31" s="1"/>
      <c r="J31" s="23"/>
      <c r="K31" s="23"/>
      <c r="L31" s="23"/>
      <c r="M31" s="23"/>
      <c r="N31" s="23"/>
      <c r="O31" s="23"/>
      <c r="P31" s="2"/>
    </row>
    <row r="32" spans="1:16">
      <c r="I32" s="3"/>
      <c r="J32" s="23"/>
      <c r="K32" s="23"/>
      <c r="L32" s="23"/>
      <c r="M32" s="23"/>
      <c r="N32" s="23"/>
      <c r="O32" s="23"/>
      <c r="P32" s="2"/>
    </row>
    <row r="33" spans="4:16">
      <c r="I33" s="2"/>
      <c r="J33" s="23"/>
      <c r="K33" s="23"/>
      <c r="L33" s="23"/>
      <c r="M33" s="23"/>
      <c r="N33" s="23"/>
      <c r="O33" s="23"/>
      <c r="P33" s="2"/>
    </row>
    <row r="34" spans="4:16">
      <c r="I34" s="2"/>
      <c r="J34" s="23"/>
      <c r="K34" s="23"/>
      <c r="L34" s="23"/>
      <c r="M34" s="23"/>
      <c r="N34" s="23"/>
      <c r="O34" s="23"/>
      <c r="P34" s="2"/>
    </row>
    <row r="35" spans="4:16">
      <c r="I35" s="2"/>
      <c r="J35" s="2"/>
      <c r="K35" s="3"/>
      <c r="L35" s="3"/>
      <c r="M35" s="3"/>
      <c r="N35" s="2"/>
      <c r="O35" s="3"/>
      <c r="P35" s="3"/>
    </row>
    <row r="36" spans="4:16">
      <c r="I36" s="2"/>
      <c r="J36" s="2"/>
      <c r="K36" s="2"/>
      <c r="L36" s="2"/>
      <c r="M36" s="2"/>
      <c r="N36" s="3"/>
      <c r="O36" s="3"/>
      <c r="P36" s="3"/>
    </row>
    <row r="37" spans="4:16" ht="30" customHeight="1">
      <c r="D37" s="33" t="s">
        <v>83</v>
      </c>
      <c r="E37" s="34"/>
      <c r="F37" s="34"/>
      <c r="G37" s="34"/>
      <c r="H37" s="34"/>
      <c r="I37" s="35"/>
      <c r="J37" s="34"/>
      <c r="K37" s="34"/>
      <c r="L37" s="34"/>
      <c r="M37" s="34"/>
      <c r="N37" s="34"/>
      <c r="O37" s="34"/>
      <c r="P37" s="34"/>
    </row>
    <row r="38" spans="4:16" ht="30" customHeight="1">
      <c r="D38" s="33" t="s">
        <v>84</v>
      </c>
      <c r="E38" s="34"/>
      <c r="F38" s="34"/>
      <c r="G38" s="34"/>
      <c r="H38" s="34"/>
      <c r="I38" s="35"/>
      <c r="J38" s="34"/>
      <c r="K38" s="34"/>
      <c r="L38" s="34"/>
      <c r="M38" s="34"/>
      <c r="N38" s="34"/>
      <c r="O38" s="34"/>
      <c r="P38" s="34"/>
    </row>
    <row r="39" spans="4:16" ht="30" customHeight="1">
      <c r="D39" s="33" t="s">
        <v>85</v>
      </c>
      <c r="E39" s="34"/>
      <c r="F39" s="34"/>
      <c r="G39" s="34"/>
      <c r="H39" s="34"/>
      <c r="I39" s="35"/>
      <c r="J39" s="34"/>
      <c r="K39" s="34"/>
      <c r="L39" s="34"/>
      <c r="M39" s="34"/>
      <c r="N39" s="34"/>
      <c r="O39" s="34"/>
      <c r="P39" s="34"/>
    </row>
    <row r="40" spans="4:16" ht="30" customHeight="1">
      <c r="D40" s="33" t="s">
        <v>86</v>
      </c>
      <c r="E40" s="34"/>
      <c r="F40" s="34"/>
      <c r="G40" s="34"/>
      <c r="H40" s="34"/>
      <c r="I40" s="35"/>
      <c r="J40" s="34"/>
      <c r="K40" s="34"/>
      <c r="L40" s="34"/>
      <c r="M40" s="34"/>
      <c r="N40" s="34"/>
      <c r="O40" s="34"/>
      <c r="P40" s="34"/>
    </row>
    <row r="41" spans="4:16" ht="30" customHeight="1">
      <c r="D41" s="33" t="s">
        <v>87</v>
      </c>
      <c r="E41" s="34"/>
      <c r="F41" s="34"/>
      <c r="G41" s="34"/>
      <c r="H41" s="34"/>
      <c r="I41" s="35"/>
      <c r="J41" s="34"/>
      <c r="K41" s="34"/>
      <c r="L41" s="34"/>
      <c r="M41" s="34"/>
      <c r="N41" s="34"/>
      <c r="O41" s="34"/>
      <c r="P41" s="34"/>
    </row>
    <row r="42" spans="4:16" ht="30" customHeight="1">
      <c r="D42" s="33" t="s">
        <v>88</v>
      </c>
      <c r="E42" s="34"/>
      <c r="F42" s="34"/>
      <c r="G42" s="34"/>
      <c r="H42" s="34"/>
      <c r="I42" s="35"/>
      <c r="J42" s="34"/>
      <c r="K42" s="34"/>
      <c r="L42" s="34"/>
      <c r="M42" s="34"/>
      <c r="N42" s="34"/>
      <c r="O42" s="34"/>
      <c r="P42" s="34"/>
    </row>
    <row r="43" spans="4:16" ht="30" customHeight="1">
      <c r="D43" s="33" t="s">
        <v>89</v>
      </c>
      <c r="E43" s="34"/>
      <c r="F43" s="34"/>
      <c r="G43" s="34"/>
      <c r="H43" s="34"/>
      <c r="I43" s="35"/>
      <c r="J43" s="34"/>
      <c r="K43" s="34"/>
      <c r="L43" s="34"/>
      <c r="M43" s="34"/>
      <c r="N43" s="34"/>
      <c r="O43" s="34"/>
      <c r="P43" s="34"/>
    </row>
    <row r="44" spans="4:16" ht="30" customHeight="1">
      <c r="D44" s="33" t="s">
        <v>90</v>
      </c>
      <c r="E44" s="34"/>
      <c r="F44" s="34"/>
      <c r="G44" s="34"/>
      <c r="H44" s="34"/>
      <c r="I44" s="35"/>
      <c r="J44" s="34"/>
      <c r="K44" s="34"/>
      <c r="L44" s="34"/>
      <c r="M44" s="34"/>
      <c r="N44" s="34"/>
      <c r="O44" s="34"/>
      <c r="P44" s="34"/>
    </row>
    <row r="45" spans="4:16">
      <c r="I45" s="2"/>
      <c r="J45" s="2"/>
      <c r="K45" s="2"/>
      <c r="L45" s="2"/>
      <c r="M45" s="2"/>
      <c r="N45" s="2"/>
      <c r="O45" s="3"/>
    </row>
    <row r="46" spans="4:16">
      <c r="I46" s="2"/>
      <c r="J46" s="2"/>
      <c r="K46" s="3"/>
      <c r="L46" s="3"/>
      <c r="M46" s="3"/>
      <c r="N46" s="2"/>
      <c r="O46" s="3"/>
    </row>
    <row r="47" spans="4:16">
      <c r="I47" s="2"/>
      <c r="J47" s="2"/>
      <c r="K47" s="2"/>
      <c r="L47" s="2"/>
      <c r="M47" s="2"/>
      <c r="N47" s="2"/>
      <c r="O47" s="3"/>
    </row>
    <row r="48" spans="4:16">
      <c r="I48" s="2"/>
      <c r="J48" s="2"/>
      <c r="K48" s="2"/>
      <c r="L48" s="2"/>
      <c r="M48" s="2"/>
      <c r="N48" s="2"/>
      <c r="O48" s="3"/>
    </row>
    <row r="49" spans="9:15">
      <c r="I49" s="2"/>
      <c r="J49" s="2"/>
      <c r="K49" s="3"/>
      <c r="L49" s="3"/>
      <c r="M49" s="3"/>
      <c r="N49" s="2"/>
      <c r="O49" s="3"/>
    </row>
    <row r="50" spans="9:15">
      <c r="I50" s="2"/>
      <c r="J50" s="2"/>
      <c r="K50" s="2"/>
      <c r="L50" s="2"/>
      <c r="M50" s="2"/>
      <c r="N50" s="2"/>
      <c r="O50" s="3"/>
    </row>
  </sheetData>
  <mergeCells count="16">
    <mergeCell ref="D42:P42"/>
    <mergeCell ref="D43:P43"/>
    <mergeCell ref="D44:P44"/>
    <mergeCell ref="J28:P28"/>
    <mergeCell ref="D37:P37"/>
    <mergeCell ref="D38:P38"/>
    <mergeCell ref="D39:P39"/>
    <mergeCell ref="D40:P40"/>
    <mergeCell ref="D41:P41"/>
    <mergeCell ref="D3:H3"/>
    <mergeCell ref="E4:F4"/>
    <mergeCell ref="G4:H4"/>
    <mergeCell ref="D14:H14"/>
    <mergeCell ref="D25:H25"/>
    <mergeCell ref="E26:F26"/>
    <mergeCell ref="G26:H26"/>
  </mergeCells>
  <phoneticPr fontId="2" type="noConversion"/>
  <pageMargins left="0.7" right="0.7" top="0.75" bottom="0.75" header="0.3" footer="0.3"/>
  <pageSetup paperSize="8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25"/>
  <sheetViews>
    <sheetView workbookViewId="0">
      <selection activeCell="P25" sqref="J3:P25"/>
    </sheetView>
  </sheetViews>
  <sheetFormatPr defaultRowHeight="16.5"/>
  <cols>
    <col min="4" max="4" width="20.5" style="16" customWidth="1"/>
    <col min="5" max="8" width="13.625" style="16" customWidth="1"/>
    <col min="11" max="15" width="10.625" style="16" customWidth="1"/>
    <col min="16" max="16" width="68.5" style="16" customWidth="1"/>
    <col min="17" max="17" width="57.625" style="16" customWidth="1"/>
    <col min="18" max="18" width="53.25" style="16" customWidth="1"/>
  </cols>
  <sheetData>
    <row r="3" spans="4:16" ht="20.100000000000001" customHeight="1">
      <c r="D3" s="28" t="s">
        <v>0</v>
      </c>
      <c r="E3" s="29"/>
      <c r="F3" s="29"/>
      <c r="G3" s="29"/>
      <c r="H3" s="27"/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</row>
    <row r="4" spans="4:16" ht="20.100000000000001" customHeight="1">
      <c r="D4" s="5"/>
      <c r="E4" s="26" t="s">
        <v>8</v>
      </c>
      <c r="F4" s="27"/>
      <c r="G4" s="26" t="s">
        <v>9</v>
      </c>
      <c r="H4" s="27"/>
      <c r="J4" s="9" t="s">
        <v>10</v>
      </c>
      <c r="K4" s="11">
        <v>100</v>
      </c>
      <c r="L4" s="11">
        <v>100</v>
      </c>
      <c r="M4" s="11">
        <v>100</v>
      </c>
      <c r="N4" s="11">
        <v>100</v>
      </c>
      <c r="O4" s="11">
        <v>100</v>
      </c>
      <c r="P4" s="8" t="s">
        <v>11</v>
      </c>
    </row>
    <row r="5" spans="4:16" ht="20.100000000000001" customHeight="1">
      <c r="D5" s="5"/>
      <c r="E5" s="5" t="s">
        <v>12</v>
      </c>
      <c r="F5" s="5" t="s">
        <v>13</v>
      </c>
      <c r="G5" s="5" t="s">
        <v>12</v>
      </c>
      <c r="H5" s="5" t="s">
        <v>13</v>
      </c>
      <c r="J5" s="9" t="s">
        <v>14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8" t="s">
        <v>15</v>
      </c>
    </row>
    <row r="6" spans="4:16" ht="20.100000000000001" customHeight="1">
      <c r="D6" s="5" t="s">
        <v>16</v>
      </c>
      <c r="E6" s="5">
        <v>0.19</v>
      </c>
      <c r="F6" s="6">
        <v>0.21</v>
      </c>
      <c r="G6" s="5">
        <v>0.6</v>
      </c>
      <c r="H6" s="6">
        <v>0.61</v>
      </c>
      <c r="J6" s="9" t="s">
        <v>17</v>
      </c>
      <c r="K6" s="9">
        <v>58</v>
      </c>
      <c r="L6" s="9">
        <v>62</v>
      </c>
      <c r="M6" s="9">
        <v>66</v>
      </c>
      <c r="N6" s="9">
        <v>34.9</v>
      </c>
      <c r="O6" s="9">
        <v>37.9</v>
      </c>
      <c r="P6" s="8" t="s">
        <v>18</v>
      </c>
    </row>
    <row r="7" spans="4:16" ht="20.100000000000001" customHeight="1">
      <c r="D7" s="5" t="s">
        <v>19</v>
      </c>
      <c r="E7" s="5">
        <v>0.26</v>
      </c>
      <c r="F7" s="6">
        <v>0.28000000000000003</v>
      </c>
      <c r="G7" s="5">
        <v>0.64</v>
      </c>
      <c r="H7" s="5">
        <v>0.66</v>
      </c>
      <c r="J7" s="9" t="s">
        <v>20</v>
      </c>
      <c r="K7" s="9">
        <v>60</v>
      </c>
      <c r="L7" s="9">
        <v>52</v>
      </c>
      <c r="M7" s="9">
        <v>88</v>
      </c>
      <c r="N7" s="9">
        <v>64.3</v>
      </c>
      <c r="O7" s="11">
        <v>94.8</v>
      </c>
      <c r="P7" s="8" t="s">
        <v>21</v>
      </c>
    </row>
    <row r="8" spans="4:16" ht="20.100000000000001" customHeight="1">
      <c r="D8" s="5" t="s">
        <v>22</v>
      </c>
      <c r="E8" s="6">
        <v>0.30599999999999999</v>
      </c>
      <c r="F8" s="5">
        <v>0.28599999999999998</v>
      </c>
      <c r="G8" s="5">
        <v>0.81599999999999995</v>
      </c>
      <c r="H8" s="5">
        <v>0.91800000000000004</v>
      </c>
      <c r="J8" s="9" t="s">
        <v>23</v>
      </c>
      <c r="K8" s="9">
        <v>85</v>
      </c>
      <c r="L8" s="9">
        <v>62</v>
      </c>
      <c r="M8" s="9">
        <v>84</v>
      </c>
      <c r="N8" s="9">
        <v>33.299999999999997</v>
      </c>
      <c r="O8" s="9">
        <v>0</v>
      </c>
      <c r="P8" s="8" t="s">
        <v>24</v>
      </c>
    </row>
    <row r="9" spans="4:16" ht="20.100000000000001" customHeight="1">
      <c r="D9" s="12" t="s">
        <v>25</v>
      </c>
      <c r="E9" s="12">
        <v>0.23599999999999999</v>
      </c>
      <c r="F9" s="13">
        <v>0.246</v>
      </c>
      <c r="G9" s="12">
        <v>0.66300000000000003</v>
      </c>
      <c r="H9" s="13">
        <v>0.69799999999999995</v>
      </c>
      <c r="J9" s="9" t="s">
        <v>26</v>
      </c>
      <c r="K9" s="11">
        <v>100</v>
      </c>
      <c r="L9" s="11">
        <v>100</v>
      </c>
      <c r="M9" s="11">
        <v>100</v>
      </c>
      <c r="N9" s="11">
        <v>0</v>
      </c>
      <c r="O9" s="11">
        <v>98.3</v>
      </c>
      <c r="P9" s="8" t="s">
        <v>27</v>
      </c>
    </row>
    <row r="10" spans="4:16" ht="20.100000000000001" customHeight="1">
      <c r="D10" s="5" t="s">
        <v>28</v>
      </c>
      <c r="E10" s="5">
        <v>0.47599999999999998</v>
      </c>
      <c r="F10" s="6">
        <v>0.50800000000000001</v>
      </c>
      <c r="G10" s="5">
        <v>0.89700000000000002</v>
      </c>
      <c r="H10" s="6">
        <v>0.92100000000000004</v>
      </c>
      <c r="J10" s="4"/>
      <c r="K10" s="4"/>
      <c r="L10" s="4"/>
      <c r="M10" s="4"/>
      <c r="N10" s="4"/>
      <c r="O10" s="4"/>
    </row>
    <row r="11" spans="4:16" ht="20.100000000000001" customHeight="1">
      <c r="D11" s="5" t="s">
        <v>29</v>
      </c>
      <c r="E11" s="5">
        <v>0.29299999999999998</v>
      </c>
      <c r="F11" s="6">
        <v>0.31</v>
      </c>
      <c r="G11" s="6">
        <v>0.60299999999999998</v>
      </c>
      <c r="H11" s="5">
        <v>0.55200000000000005</v>
      </c>
      <c r="J11" s="7" t="s">
        <v>1</v>
      </c>
      <c r="K11" s="7" t="s">
        <v>2</v>
      </c>
      <c r="L11" s="7" t="s">
        <v>3</v>
      </c>
      <c r="M11" s="7" t="s">
        <v>4</v>
      </c>
      <c r="N11" s="7" t="s">
        <v>5</v>
      </c>
      <c r="O11" s="7" t="s">
        <v>6</v>
      </c>
      <c r="P11" s="7" t="s">
        <v>30</v>
      </c>
    </row>
    <row r="12" spans="4:16" ht="20.100000000000001" customHeight="1">
      <c r="D12" s="12" t="s">
        <v>31</v>
      </c>
      <c r="E12" s="12">
        <v>0.41799999999999998</v>
      </c>
      <c r="F12" s="13">
        <v>0.44600000000000001</v>
      </c>
      <c r="G12" s="12">
        <v>0.80400000000000005</v>
      </c>
      <c r="H12" s="14">
        <v>0.80400000000000005</v>
      </c>
      <c r="J12" s="9" t="s">
        <v>32</v>
      </c>
      <c r="K12" s="11">
        <v>97</v>
      </c>
      <c r="L12" s="11">
        <v>98</v>
      </c>
      <c r="M12" s="11">
        <v>98</v>
      </c>
      <c r="N12" s="11">
        <v>0</v>
      </c>
      <c r="O12" s="11">
        <v>96.6</v>
      </c>
      <c r="P12" s="8" t="s">
        <v>33</v>
      </c>
    </row>
    <row r="13" spans="4:16" ht="20.100000000000001" customHeight="1">
      <c r="J13" s="9" t="s">
        <v>34</v>
      </c>
      <c r="K13" s="9">
        <v>52</v>
      </c>
      <c r="L13" s="9">
        <v>40</v>
      </c>
      <c r="M13" s="9">
        <v>62</v>
      </c>
      <c r="N13" s="9">
        <v>15.9</v>
      </c>
      <c r="O13" s="9">
        <v>0</v>
      </c>
      <c r="P13" s="8" t="s">
        <v>35</v>
      </c>
    </row>
    <row r="14" spans="4:16" ht="20.100000000000001" customHeight="1">
      <c r="D14" s="28" t="s">
        <v>36</v>
      </c>
      <c r="E14" s="29"/>
      <c r="F14" s="29"/>
      <c r="G14" s="27"/>
      <c r="J14" s="9" t="s">
        <v>37</v>
      </c>
      <c r="K14" s="9">
        <v>50</v>
      </c>
      <c r="L14" s="9">
        <v>38</v>
      </c>
      <c r="M14" s="9">
        <v>62</v>
      </c>
      <c r="N14" s="9">
        <v>15.9</v>
      </c>
      <c r="O14" s="9">
        <v>0</v>
      </c>
      <c r="P14" s="8" t="s">
        <v>38</v>
      </c>
    </row>
    <row r="15" spans="4:16" ht="20.100000000000001" customHeight="1">
      <c r="D15" s="7" t="s">
        <v>39</v>
      </c>
      <c r="E15" s="7" t="s">
        <v>40</v>
      </c>
      <c r="F15" s="7" t="s">
        <v>41</v>
      </c>
      <c r="G15" s="7" t="s">
        <v>42</v>
      </c>
      <c r="J15" s="4"/>
      <c r="K15" s="4"/>
      <c r="L15" s="4"/>
      <c r="M15" s="4"/>
      <c r="N15" s="4"/>
      <c r="O15" s="4"/>
    </row>
    <row r="16" spans="4:16" ht="20.100000000000001" customHeight="1">
      <c r="D16" s="9" t="s">
        <v>43</v>
      </c>
      <c r="E16" s="9">
        <v>100</v>
      </c>
      <c r="F16" s="10">
        <v>0.66300000000000003</v>
      </c>
      <c r="G16" s="10">
        <v>0.39600000000000002</v>
      </c>
      <c r="J16" s="7" t="s">
        <v>1</v>
      </c>
      <c r="K16" s="7" t="s">
        <v>2</v>
      </c>
      <c r="L16" s="7" t="s">
        <v>3</v>
      </c>
      <c r="M16" s="7" t="s">
        <v>4</v>
      </c>
      <c r="N16" s="7" t="s">
        <v>5</v>
      </c>
      <c r="O16" s="7" t="s">
        <v>6</v>
      </c>
      <c r="P16" s="7" t="s">
        <v>30</v>
      </c>
    </row>
    <row r="17" spans="1:16" ht="20.100000000000001" customHeight="1">
      <c r="D17" s="9" t="s">
        <v>44</v>
      </c>
      <c r="E17" s="9">
        <v>50</v>
      </c>
      <c r="F17" s="10">
        <v>0.58699999999999997</v>
      </c>
      <c r="G17" s="10">
        <v>0.38700000000000001</v>
      </c>
      <c r="J17" s="9" t="s">
        <v>45</v>
      </c>
      <c r="K17" s="9">
        <v>35</v>
      </c>
      <c r="L17" s="9">
        <v>32</v>
      </c>
      <c r="M17" s="9">
        <v>66</v>
      </c>
      <c r="N17" s="9">
        <v>31</v>
      </c>
      <c r="O17" s="9">
        <v>36.200000000000003</v>
      </c>
      <c r="P17" s="8" t="s">
        <v>46</v>
      </c>
    </row>
    <row r="18" spans="1:16" ht="20.100000000000001" customHeight="1">
      <c r="A18" s="1"/>
      <c r="B18" s="1"/>
      <c r="C18" s="1"/>
      <c r="D18" s="9" t="s">
        <v>47</v>
      </c>
      <c r="E18" s="9">
        <v>50</v>
      </c>
      <c r="F18" s="10">
        <v>0.74</v>
      </c>
      <c r="G18" s="10">
        <v>0.66</v>
      </c>
      <c r="J18" s="9" t="s">
        <v>48</v>
      </c>
      <c r="K18" s="9">
        <v>35</v>
      </c>
      <c r="L18" s="9">
        <v>32</v>
      </c>
      <c r="M18" s="9">
        <v>66</v>
      </c>
      <c r="N18" s="9">
        <v>31</v>
      </c>
      <c r="O18" s="9">
        <v>36.200000000000003</v>
      </c>
      <c r="P18" s="8" t="s">
        <v>49</v>
      </c>
    </row>
    <row r="19" spans="1:16" ht="20.100000000000001" customHeight="1">
      <c r="A19" s="2"/>
      <c r="B19" s="2"/>
      <c r="C19" s="2"/>
      <c r="D19" s="9" t="s">
        <v>50</v>
      </c>
      <c r="E19" s="9">
        <v>126</v>
      </c>
      <c r="F19" s="10">
        <v>0.106</v>
      </c>
      <c r="G19" s="10">
        <v>0.314</v>
      </c>
      <c r="J19" s="9" t="s">
        <v>51</v>
      </c>
      <c r="K19" s="9">
        <v>32</v>
      </c>
      <c r="L19" s="9">
        <v>32</v>
      </c>
      <c r="M19" s="9">
        <v>66</v>
      </c>
      <c r="N19" s="9">
        <v>30.2</v>
      </c>
      <c r="O19" s="9">
        <v>36.200000000000003</v>
      </c>
      <c r="P19" s="8" t="s">
        <v>52</v>
      </c>
    </row>
    <row r="20" spans="1:16" ht="20.100000000000001" customHeight="1">
      <c r="A20" s="2"/>
      <c r="B20" s="2"/>
      <c r="C20" s="2"/>
      <c r="D20" s="9" t="s">
        <v>53</v>
      </c>
      <c r="E20" s="9">
        <v>58</v>
      </c>
      <c r="F20" s="10">
        <v>0.32200000000000001</v>
      </c>
      <c r="G20" s="10">
        <v>0.36399999999999999</v>
      </c>
      <c r="J20" s="9" t="s">
        <v>54</v>
      </c>
      <c r="K20" s="9">
        <v>35</v>
      </c>
      <c r="L20" s="9">
        <v>32</v>
      </c>
      <c r="M20" s="9">
        <v>66</v>
      </c>
      <c r="N20" s="9">
        <v>31</v>
      </c>
      <c r="O20" s="9">
        <v>36.200000000000003</v>
      </c>
      <c r="P20" s="8" t="s">
        <v>55</v>
      </c>
    </row>
    <row r="21" spans="1:16" ht="20.100000000000001" customHeight="1">
      <c r="A21" s="2"/>
      <c r="B21" s="2"/>
      <c r="C21" s="2"/>
      <c r="D21" s="2"/>
      <c r="E21" s="2"/>
      <c r="F21" s="2"/>
      <c r="G21" s="2"/>
      <c r="J21" s="9" t="s">
        <v>56</v>
      </c>
      <c r="K21" s="9">
        <v>58</v>
      </c>
      <c r="L21" s="9">
        <v>62</v>
      </c>
      <c r="M21" s="9">
        <v>66</v>
      </c>
      <c r="N21" s="9">
        <v>34.9</v>
      </c>
      <c r="O21" s="9">
        <v>37.9</v>
      </c>
      <c r="P21" s="8" t="s">
        <v>57</v>
      </c>
    </row>
    <row r="22" spans="1:16" ht="20.100000000000001" customHeight="1">
      <c r="A22" s="3"/>
      <c r="B22" s="3"/>
      <c r="C22" s="3"/>
      <c r="D22" s="3"/>
      <c r="E22" s="3"/>
      <c r="F22" s="3"/>
      <c r="G22" s="3"/>
      <c r="J22" s="9" t="s">
        <v>58</v>
      </c>
      <c r="K22" s="9">
        <v>35</v>
      </c>
      <c r="L22" s="9">
        <v>32</v>
      </c>
      <c r="M22" s="9">
        <v>66</v>
      </c>
      <c r="N22" s="9">
        <v>31</v>
      </c>
      <c r="O22" s="9">
        <v>36.200000000000003</v>
      </c>
      <c r="P22" s="8" t="s">
        <v>59</v>
      </c>
    </row>
    <row r="23" spans="1:16" ht="20.100000000000001" customHeight="1">
      <c r="A23" s="2"/>
      <c r="B23" s="2"/>
      <c r="C23" s="2"/>
      <c r="D23" s="2"/>
      <c r="E23" s="2"/>
      <c r="F23" s="2"/>
      <c r="G23" s="2"/>
      <c r="J23" s="9" t="s">
        <v>60</v>
      </c>
      <c r="K23" s="9">
        <v>35</v>
      </c>
      <c r="L23" s="9">
        <v>32</v>
      </c>
      <c r="M23" s="9">
        <v>66</v>
      </c>
      <c r="N23" s="9">
        <v>31</v>
      </c>
      <c r="O23" s="9">
        <v>36.200000000000003</v>
      </c>
      <c r="P23" s="8" t="s">
        <v>61</v>
      </c>
    </row>
    <row r="24" spans="1:16" ht="20.100000000000001" customHeight="1">
      <c r="A24" s="2"/>
      <c r="B24" s="2"/>
      <c r="C24" s="2"/>
      <c r="D24" s="2"/>
      <c r="E24" s="2"/>
      <c r="F24" s="2"/>
      <c r="G24" s="2"/>
      <c r="J24" s="9" t="s">
        <v>62</v>
      </c>
      <c r="K24" s="9">
        <v>57</v>
      </c>
      <c r="L24" s="9">
        <v>62</v>
      </c>
      <c r="M24" s="9">
        <v>66</v>
      </c>
      <c r="N24" s="9">
        <v>34.9</v>
      </c>
      <c r="O24" s="9">
        <v>37.9</v>
      </c>
      <c r="P24" s="8" t="s">
        <v>63</v>
      </c>
    </row>
    <row r="25" spans="1:16" ht="20.100000000000001" customHeight="1">
      <c r="A25" s="3"/>
      <c r="B25" s="3"/>
      <c r="C25" s="3"/>
      <c r="D25" s="3"/>
      <c r="E25" s="3"/>
      <c r="F25" s="3"/>
      <c r="G25" s="3"/>
      <c r="J25" s="9" t="s">
        <v>64</v>
      </c>
      <c r="K25" s="9">
        <v>34</v>
      </c>
      <c r="L25" s="9">
        <v>32</v>
      </c>
      <c r="M25" s="9">
        <v>66</v>
      </c>
      <c r="N25" s="9">
        <v>27.8</v>
      </c>
      <c r="O25" s="9">
        <v>34.5</v>
      </c>
      <c r="P25" s="8" t="s">
        <v>65</v>
      </c>
    </row>
  </sheetData>
  <mergeCells count="4">
    <mergeCell ref="G4:H4"/>
    <mergeCell ref="E4:F4"/>
    <mergeCell ref="D14:G14"/>
    <mergeCell ref="D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50"/>
  <sheetViews>
    <sheetView workbookViewId="0">
      <selection activeCell="B31" sqref="B31"/>
    </sheetView>
  </sheetViews>
  <sheetFormatPr defaultRowHeight="16.5"/>
  <cols>
    <col min="4" max="4" width="20.5" style="16" customWidth="1"/>
    <col min="5" max="8" width="13.625" style="16" customWidth="1"/>
    <col min="10" max="10" width="16" style="16" bestFit="1" customWidth="1"/>
    <col min="11" max="11" width="26.125" style="16" customWidth="1"/>
    <col min="12" max="12" width="16.375" style="16" customWidth="1"/>
    <col min="13" max="13" width="22.5" style="16" bestFit="1" customWidth="1"/>
    <col min="14" max="14" width="14" style="16" bestFit="1" customWidth="1"/>
    <col min="15" max="15" width="10.625" style="16" customWidth="1"/>
    <col min="16" max="16" width="68.5" style="16" customWidth="1"/>
    <col min="17" max="17" width="57.625" style="16" customWidth="1"/>
    <col min="18" max="18" width="53.25" style="16" customWidth="1"/>
  </cols>
  <sheetData>
    <row r="3" spans="4:16" ht="20.100000000000001" customHeight="1">
      <c r="D3" s="28" t="s">
        <v>92</v>
      </c>
      <c r="E3" s="29"/>
      <c r="F3" s="29"/>
      <c r="G3" s="29"/>
      <c r="H3" s="27"/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</row>
    <row r="4" spans="4:16" ht="20.100000000000001" customHeight="1">
      <c r="D4" s="5"/>
      <c r="E4" s="26" t="s">
        <v>8</v>
      </c>
      <c r="F4" s="27"/>
      <c r="G4" s="26" t="s">
        <v>66</v>
      </c>
      <c r="H4" s="27"/>
      <c r="J4" s="9" t="s">
        <v>10</v>
      </c>
      <c r="K4" s="11">
        <v>100</v>
      </c>
      <c r="L4" s="11">
        <v>100</v>
      </c>
      <c r="M4" s="11">
        <v>100</v>
      </c>
      <c r="N4" s="11">
        <v>100</v>
      </c>
      <c r="O4" s="11">
        <v>100</v>
      </c>
      <c r="P4" s="8" t="s">
        <v>11</v>
      </c>
    </row>
    <row r="5" spans="4:16" ht="20.100000000000001" customHeight="1">
      <c r="D5" s="5"/>
      <c r="E5" s="5" t="s">
        <v>12</v>
      </c>
      <c r="F5" s="5" t="s">
        <v>13</v>
      </c>
      <c r="G5" s="5" t="s">
        <v>12</v>
      </c>
      <c r="H5" s="5" t="s">
        <v>13</v>
      </c>
      <c r="J5" s="9" t="s">
        <v>14</v>
      </c>
      <c r="K5" s="11">
        <v>100</v>
      </c>
      <c r="L5" s="11">
        <v>100</v>
      </c>
      <c r="M5" s="11">
        <v>100</v>
      </c>
      <c r="N5" s="11">
        <v>100</v>
      </c>
      <c r="O5" s="11">
        <v>100</v>
      </c>
      <c r="P5" s="8" t="s">
        <v>15</v>
      </c>
    </row>
    <row r="6" spans="4:16" ht="20.100000000000001" customHeight="1">
      <c r="D6" s="5" t="s">
        <v>16</v>
      </c>
      <c r="E6" s="5">
        <v>0.17</v>
      </c>
      <c r="F6" s="6">
        <v>0.24</v>
      </c>
      <c r="G6" s="5">
        <v>0.44</v>
      </c>
      <c r="H6" s="6">
        <v>0.56000000000000005</v>
      </c>
      <c r="J6" s="9" t="s">
        <v>17</v>
      </c>
      <c r="K6" s="11">
        <v>100</v>
      </c>
      <c r="L6" s="11">
        <v>100</v>
      </c>
      <c r="M6" s="11">
        <v>98</v>
      </c>
      <c r="N6" s="11">
        <v>0.8</v>
      </c>
      <c r="O6" s="11">
        <v>100</v>
      </c>
      <c r="P6" s="8" t="s">
        <v>18</v>
      </c>
    </row>
    <row r="7" spans="4:16" ht="20.100000000000001" customHeight="1">
      <c r="D7" s="5" t="s">
        <v>22</v>
      </c>
      <c r="E7" s="15">
        <v>0.32600000000000001</v>
      </c>
      <c r="F7" s="6">
        <v>0.36699999999999999</v>
      </c>
      <c r="G7" s="5">
        <v>0.61199999999999999</v>
      </c>
      <c r="H7" s="6">
        <v>0.73499999999999999</v>
      </c>
      <c r="J7" s="9" t="s">
        <v>20</v>
      </c>
      <c r="K7" s="11">
        <v>89</v>
      </c>
      <c r="L7" s="11">
        <v>66</v>
      </c>
      <c r="M7" s="11">
        <v>88</v>
      </c>
      <c r="N7" s="11">
        <v>92.1</v>
      </c>
      <c r="O7" s="11">
        <v>100</v>
      </c>
      <c r="P7" s="8" t="s">
        <v>21</v>
      </c>
    </row>
    <row r="8" spans="4:16" ht="20.100000000000001" customHeight="1">
      <c r="D8" s="12" t="s">
        <v>25</v>
      </c>
      <c r="E8" s="12">
        <v>0.24099999999999999</v>
      </c>
      <c r="F8" s="13">
        <v>0.28100000000000003</v>
      </c>
      <c r="G8" s="12">
        <v>0.48699999999999999</v>
      </c>
      <c r="H8" s="13">
        <v>0.57299999999999995</v>
      </c>
      <c r="J8" s="9" t="s">
        <v>23</v>
      </c>
      <c r="K8" s="11">
        <v>100</v>
      </c>
      <c r="L8" s="11">
        <v>80</v>
      </c>
      <c r="M8" s="11">
        <v>88</v>
      </c>
      <c r="N8" s="11">
        <v>84.9</v>
      </c>
      <c r="O8" s="11">
        <v>15.5</v>
      </c>
      <c r="P8" s="8" t="s">
        <v>24</v>
      </c>
    </row>
    <row r="9" spans="4:16" ht="20.100000000000001" customHeight="1">
      <c r="D9" s="5" t="s">
        <v>28</v>
      </c>
      <c r="E9" s="5">
        <v>0.5</v>
      </c>
      <c r="F9" s="15">
        <v>0.5</v>
      </c>
      <c r="G9" s="5">
        <v>0.81</v>
      </c>
      <c r="H9" s="6">
        <v>0.82499999999999996</v>
      </c>
      <c r="J9" s="9" t="s">
        <v>26</v>
      </c>
      <c r="K9" s="11">
        <v>100</v>
      </c>
      <c r="L9" s="11">
        <v>100</v>
      </c>
      <c r="M9" s="11">
        <v>100</v>
      </c>
      <c r="N9" s="11">
        <v>0</v>
      </c>
      <c r="O9" s="11">
        <v>65.5</v>
      </c>
      <c r="P9" s="8" t="s">
        <v>27</v>
      </c>
    </row>
    <row r="10" spans="4:16" ht="20.100000000000001" customHeight="1">
      <c r="D10" s="5" t="s">
        <v>29</v>
      </c>
      <c r="E10" s="5">
        <v>0.24099999999999999</v>
      </c>
      <c r="F10" s="6">
        <v>0.27600000000000002</v>
      </c>
      <c r="G10" s="6">
        <v>0.41399999999999998</v>
      </c>
      <c r="H10" s="5">
        <v>0.39700000000000002</v>
      </c>
      <c r="J10" s="4"/>
      <c r="K10" s="4"/>
      <c r="L10" s="4"/>
      <c r="M10" s="4"/>
      <c r="N10" s="4"/>
      <c r="O10" s="4"/>
    </row>
    <row r="11" spans="4:16" ht="20.100000000000001" customHeight="1">
      <c r="D11" s="12" t="s">
        <v>31</v>
      </c>
      <c r="E11" s="12">
        <v>0.41799999999999998</v>
      </c>
      <c r="F11" s="13">
        <v>0.42899999999999999</v>
      </c>
      <c r="G11" s="12">
        <v>0.68500000000000005</v>
      </c>
      <c r="H11" s="13">
        <v>0.69</v>
      </c>
      <c r="J11" s="7" t="s">
        <v>1</v>
      </c>
      <c r="K11" s="7" t="s">
        <v>2</v>
      </c>
      <c r="L11" s="7" t="s">
        <v>3</v>
      </c>
      <c r="M11" s="7" t="s">
        <v>4</v>
      </c>
      <c r="N11" s="7" t="s">
        <v>5</v>
      </c>
      <c r="O11" s="7" t="s">
        <v>6</v>
      </c>
      <c r="P11" s="7" t="s">
        <v>30</v>
      </c>
    </row>
    <row r="12" spans="4:16" ht="20.100000000000001" customHeight="1">
      <c r="J12" s="9" t="s">
        <v>32</v>
      </c>
      <c r="K12" s="11">
        <v>100</v>
      </c>
      <c r="L12" s="11">
        <v>100</v>
      </c>
      <c r="M12" s="11">
        <v>100</v>
      </c>
      <c r="N12" s="11">
        <v>0</v>
      </c>
      <c r="O12" s="11">
        <v>65.5</v>
      </c>
      <c r="P12" s="8" t="s">
        <v>33</v>
      </c>
    </row>
    <row r="13" spans="4:16" ht="20.100000000000001" customHeight="1">
      <c r="J13" s="9" t="s">
        <v>34</v>
      </c>
      <c r="K13" s="11">
        <v>100</v>
      </c>
      <c r="L13" s="11">
        <v>80</v>
      </c>
      <c r="M13" s="11">
        <v>88</v>
      </c>
      <c r="N13" s="11">
        <v>0.8</v>
      </c>
      <c r="O13" s="11">
        <v>15.5</v>
      </c>
      <c r="P13" s="8" t="s">
        <v>35</v>
      </c>
    </row>
    <row r="14" spans="4:16" ht="20.100000000000001" customHeight="1">
      <c r="D14" s="30" t="s">
        <v>91</v>
      </c>
      <c r="E14" s="31"/>
      <c r="F14" s="31"/>
      <c r="G14" s="32"/>
      <c r="J14" s="9" t="s">
        <v>37</v>
      </c>
      <c r="K14" s="11">
        <v>100</v>
      </c>
      <c r="L14" s="11">
        <v>80</v>
      </c>
      <c r="M14" s="11">
        <v>88</v>
      </c>
      <c r="N14" s="11">
        <v>0.8</v>
      </c>
      <c r="O14" s="11">
        <v>15.5</v>
      </c>
      <c r="P14" s="8" t="s">
        <v>38</v>
      </c>
    </row>
    <row r="15" spans="4:16" ht="20.100000000000001" customHeight="1">
      <c r="D15" s="7" t="s">
        <v>67</v>
      </c>
      <c r="E15" s="7" t="s">
        <v>68</v>
      </c>
      <c r="F15" s="7" t="s">
        <v>69</v>
      </c>
      <c r="G15" s="7" t="s">
        <v>70</v>
      </c>
      <c r="H15" s="7" t="s">
        <v>71</v>
      </c>
      <c r="J15" s="4"/>
      <c r="K15" s="4"/>
      <c r="L15" s="4"/>
      <c r="M15" s="4"/>
      <c r="N15" s="4"/>
      <c r="O15" s="4"/>
      <c r="P15" s="2" t="s">
        <v>72</v>
      </c>
    </row>
    <row r="16" spans="4:16" ht="20.100000000000001" customHeight="1">
      <c r="D16" s="9" t="s">
        <v>73</v>
      </c>
      <c r="E16" s="9" t="s">
        <v>2</v>
      </c>
      <c r="F16" s="10">
        <v>0.98199999999999998</v>
      </c>
      <c r="G16" s="10">
        <v>1</v>
      </c>
      <c r="H16" s="10">
        <v>0.91400000000000003</v>
      </c>
      <c r="J16" s="7" t="s">
        <v>1</v>
      </c>
      <c r="K16" s="7" t="s">
        <v>2</v>
      </c>
      <c r="L16" s="7" t="s">
        <v>3</v>
      </c>
      <c r="M16" s="7" t="s">
        <v>4</v>
      </c>
      <c r="N16" s="7" t="s">
        <v>5</v>
      </c>
      <c r="O16" s="7" t="s">
        <v>6</v>
      </c>
      <c r="P16" s="7" t="s">
        <v>30</v>
      </c>
    </row>
    <row r="17" spans="1:16" ht="20.100000000000001" customHeight="1">
      <c r="D17" s="9" t="s">
        <v>73</v>
      </c>
      <c r="E17" s="9" t="s">
        <v>4</v>
      </c>
      <c r="F17" s="10">
        <v>0.95699999999999996</v>
      </c>
      <c r="G17" s="10">
        <v>0.92</v>
      </c>
      <c r="H17" s="10">
        <v>0.90200000000000002</v>
      </c>
      <c r="J17" s="9" t="s">
        <v>45</v>
      </c>
      <c r="K17" s="11">
        <v>89</v>
      </c>
      <c r="L17" s="11">
        <v>66</v>
      </c>
      <c r="M17" s="11">
        <v>88</v>
      </c>
      <c r="N17" s="11">
        <v>0.8</v>
      </c>
      <c r="O17" s="11">
        <v>100</v>
      </c>
      <c r="P17" s="8" t="s">
        <v>46</v>
      </c>
    </row>
    <row r="18" spans="1:16" ht="20.100000000000001" customHeight="1">
      <c r="A18" s="1"/>
      <c r="B18" s="1"/>
      <c r="C18" s="1"/>
      <c r="D18" s="9" t="s">
        <v>74</v>
      </c>
      <c r="E18" s="9" t="s">
        <v>75</v>
      </c>
      <c r="F18" s="10">
        <v>0.63</v>
      </c>
      <c r="G18" s="10">
        <v>7.2751322751322704E-3</v>
      </c>
      <c r="H18" s="10">
        <v>8.0000000000000002E-3</v>
      </c>
      <c r="J18" s="9" t="s">
        <v>48</v>
      </c>
      <c r="K18" s="11">
        <v>89</v>
      </c>
      <c r="L18" s="11">
        <v>66</v>
      </c>
      <c r="M18" s="11">
        <v>88</v>
      </c>
      <c r="N18" s="11">
        <v>0.8</v>
      </c>
      <c r="O18" s="11">
        <v>100</v>
      </c>
      <c r="P18" s="8" t="s">
        <v>49</v>
      </c>
    </row>
    <row r="19" spans="1:16" ht="20.100000000000001" customHeight="1">
      <c r="A19" s="2"/>
      <c r="B19" s="2"/>
      <c r="C19" s="2"/>
      <c r="D19" s="9" t="s">
        <v>74</v>
      </c>
      <c r="E19" s="9" t="s">
        <v>76</v>
      </c>
      <c r="F19" s="10">
        <v>0.80200000000000005</v>
      </c>
      <c r="G19" s="10">
        <v>0.32200000000000001</v>
      </c>
      <c r="H19" s="10">
        <v>1</v>
      </c>
      <c r="J19" s="9" t="s">
        <v>51</v>
      </c>
      <c r="K19" s="11">
        <v>89</v>
      </c>
      <c r="L19" s="11">
        <v>66</v>
      </c>
      <c r="M19" s="11">
        <v>88</v>
      </c>
      <c r="N19" s="11">
        <v>0.8</v>
      </c>
      <c r="O19" s="11">
        <v>100</v>
      </c>
      <c r="P19" s="8" t="s">
        <v>52</v>
      </c>
    </row>
    <row r="20" spans="1:16" ht="20.100000000000001" customHeight="1">
      <c r="A20" s="2"/>
      <c r="B20" s="2"/>
      <c r="C20" s="2"/>
      <c r="D20" s="2"/>
      <c r="E20" s="2"/>
      <c r="F20" s="2"/>
      <c r="G20" s="2"/>
      <c r="J20" s="9" t="s">
        <v>54</v>
      </c>
      <c r="K20" s="11">
        <v>89</v>
      </c>
      <c r="L20" s="11">
        <v>66</v>
      </c>
      <c r="M20" s="11">
        <v>88</v>
      </c>
      <c r="N20" s="11">
        <v>0.8</v>
      </c>
      <c r="O20" s="11">
        <v>100</v>
      </c>
      <c r="P20" s="8" t="s">
        <v>55</v>
      </c>
    </row>
    <row r="21" spans="1:16" ht="20.100000000000001" customHeight="1">
      <c r="A21" s="2"/>
      <c r="B21" s="2"/>
      <c r="C21" s="2"/>
      <c r="D21" s="1"/>
      <c r="E21" s="1"/>
      <c r="F21" s="1"/>
      <c r="G21" s="1"/>
      <c r="H21" s="1"/>
      <c r="J21" s="9" t="s">
        <v>56</v>
      </c>
      <c r="K21" s="11">
        <v>100</v>
      </c>
      <c r="L21" s="11">
        <v>100</v>
      </c>
      <c r="M21" s="11">
        <v>98</v>
      </c>
      <c r="N21" s="11">
        <v>0.8</v>
      </c>
      <c r="O21" s="11">
        <v>100</v>
      </c>
      <c r="P21" s="8" t="s">
        <v>57</v>
      </c>
    </row>
    <row r="22" spans="1:16" ht="20.100000000000001" customHeight="1">
      <c r="A22" s="3"/>
      <c r="B22" s="1"/>
      <c r="C22" s="1"/>
      <c r="J22" s="9" t="s">
        <v>58</v>
      </c>
      <c r="K22" s="11">
        <v>89</v>
      </c>
      <c r="L22" s="11">
        <v>66</v>
      </c>
      <c r="M22" s="11">
        <v>88</v>
      </c>
      <c r="N22" s="11">
        <v>0.8</v>
      </c>
      <c r="O22" s="11">
        <v>100</v>
      </c>
      <c r="P22" s="8" t="s">
        <v>59</v>
      </c>
    </row>
    <row r="23" spans="1:16" ht="20.100000000000001" customHeight="1">
      <c r="A23" s="2"/>
      <c r="B23" s="2"/>
      <c r="C23" s="2"/>
      <c r="D23" s="2"/>
      <c r="E23" s="2"/>
      <c r="F23" s="2"/>
      <c r="G23" s="2"/>
      <c r="H23" s="2"/>
      <c r="J23" s="9" t="s">
        <v>60</v>
      </c>
      <c r="K23" s="11">
        <v>89</v>
      </c>
      <c r="L23" s="11">
        <v>66</v>
      </c>
      <c r="M23" s="11">
        <v>88</v>
      </c>
      <c r="N23" s="11">
        <v>0.8</v>
      </c>
      <c r="O23" s="11">
        <v>100</v>
      </c>
      <c r="P23" s="8" t="s">
        <v>61</v>
      </c>
    </row>
    <row r="24" spans="1:16" ht="20.100000000000001" customHeight="1">
      <c r="A24" s="2"/>
      <c r="B24" s="2"/>
      <c r="C24" s="2"/>
      <c r="D24" s="2"/>
      <c r="E24" s="2"/>
      <c r="F24" s="2"/>
      <c r="G24" s="2"/>
      <c r="H24" s="2"/>
      <c r="J24" s="9" t="s">
        <v>62</v>
      </c>
      <c r="K24" s="11">
        <v>100</v>
      </c>
      <c r="L24" s="11">
        <v>100</v>
      </c>
      <c r="M24" s="11">
        <v>98</v>
      </c>
      <c r="N24" s="11">
        <v>0.8</v>
      </c>
      <c r="O24" s="11">
        <v>100</v>
      </c>
      <c r="P24" s="8" t="s">
        <v>63</v>
      </c>
    </row>
    <row r="25" spans="1:16" ht="20.100000000000001" customHeight="1">
      <c r="A25" s="3"/>
      <c r="B25" s="2"/>
      <c r="C25" s="2"/>
      <c r="D25" s="2" t="s">
        <v>93</v>
      </c>
      <c r="E25" s="2"/>
      <c r="F25" s="2"/>
      <c r="G25" s="2"/>
      <c r="H25" s="2"/>
      <c r="J25" s="9" t="s">
        <v>64</v>
      </c>
      <c r="K25" s="11">
        <v>89</v>
      </c>
      <c r="L25" s="11">
        <v>66</v>
      </c>
      <c r="M25" s="11">
        <v>88</v>
      </c>
      <c r="N25" s="11">
        <v>0.8</v>
      </c>
      <c r="O25" s="11">
        <v>100</v>
      </c>
      <c r="P25" s="8" t="s">
        <v>65</v>
      </c>
    </row>
    <row r="26" spans="1:16">
      <c r="B26" s="3"/>
      <c r="C26" s="3"/>
      <c r="D26" s="3"/>
      <c r="E26" s="3"/>
      <c r="F26" s="3"/>
      <c r="G26" s="3"/>
      <c r="H26" s="3"/>
      <c r="J26" s="2"/>
      <c r="K26" s="2"/>
      <c r="L26" s="3"/>
      <c r="M26" s="3"/>
      <c r="N26" s="3"/>
      <c r="O26" s="3"/>
      <c r="P26" s="3">
        <v>100</v>
      </c>
    </row>
    <row r="27" spans="1:16">
      <c r="B27" s="2"/>
      <c r="C27" s="2"/>
      <c r="D27" s="2"/>
      <c r="E27" s="2"/>
      <c r="F27" s="2"/>
      <c r="G27" s="2"/>
      <c r="H27" s="2"/>
      <c r="J27" s="2"/>
      <c r="K27" s="2"/>
      <c r="L27" s="3"/>
      <c r="M27" s="3"/>
      <c r="N27" s="3"/>
      <c r="O27" s="3"/>
      <c r="P27" s="3">
        <v>100</v>
      </c>
    </row>
    <row r="28" spans="1:16">
      <c r="B28" s="2"/>
      <c r="C28" s="2"/>
      <c r="D28" s="2"/>
      <c r="E28" s="2"/>
      <c r="F28" s="2"/>
      <c r="G28" s="2"/>
      <c r="H28" s="2"/>
      <c r="J28" s="2"/>
      <c r="K28" s="2"/>
      <c r="L28" s="3"/>
      <c r="M28" s="3"/>
      <c r="N28" s="3"/>
      <c r="O28" s="2"/>
      <c r="P28" s="3"/>
    </row>
    <row r="29" spans="1:16">
      <c r="B29" s="3"/>
      <c r="C29" s="3"/>
      <c r="D29" s="3"/>
      <c r="E29" s="3"/>
      <c r="F29" s="3"/>
      <c r="G29" s="3"/>
      <c r="H29" s="3"/>
      <c r="J29" s="2"/>
      <c r="K29" s="2"/>
      <c r="L29" s="2"/>
      <c r="M29" s="2"/>
      <c r="N29" s="2"/>
      <c r="O29" s="3"/>
      <c r="P29" s="3"/>
    </row>
    <row r="30" spans="1:16">
      <c r="J30" s="2"/>
      <c r="K30" s="2"/>
      <c r="L30" s="3"/>
      <c r="M30" s="2"/>
      <c r="N30" s="2"/>
      <c r="O30" s="2"/>
      <c r="P30" s="2"/>
    </row>
    <row r="31" spans="1:16">
      <c r="I31" s="1"/>
      <c r="J31" s="1"/>
      <c r="K31" s="1"/>
      <c r="L31" s="1"/>
      <c r="M31" s="1"/>
      <c r="N31" s="1"/>
      <c r="O31" s="1"/>
      <c r="P31" s="2"/>
    </row>
    <row r="32" spans="1:16">
      <c r="I32" s="3"/>
      <c r="J32" s="2"/>
      <c r="K32" s="3"/>
      <c r="L32" s="3"/>
      <c r="M32" s="3"/>
      <c r="N32" s="3"/>
      <c r="O32" s="3"/>
      <c r="P32" s="2"/>
    </row>
    <row r="33" spans="9:16">
      <c r="I33" s="2"/>
      <c r="J33" s="2"/>
      <c r="K33" s="3"/>
      <c r="L33" s="3"/>
      <c r="M33" s="3"/>
      <c r="N33" s="3"/>
      <c r="O33" s="3"/>
      <c r="P33" s="2"/>
    </row>
    <row r="34" spans="9:16">
      <c r="I34" s="2"/>
      <c r="J34" s="2"/>
      <c r="K34" s="3"/>
      <c r="L34" s="3"/>
      <c r="M34" s="3"/>
      <c r="N34" s="3"/>
      <c r="O34" s="3"/>
      <c r="P34" s="2"/>
    </row>
    <row r="35" spans="9:16">
      <c r="I35" s="2"/>
      <c r="J35" s="2"/>
      <c r="K35" s="3"/>
      <c r="L35" s="3"/>
      <c r="M35" s="3"/>
      <c r="N35" s="2"/>
      <c r="O35" s="3"/>
      <c r="P35" s="3">
        <v>100</v>
      </c>
    </row>
    <row r="36" spans="9:16">
      <c r="I36" s="2"/>
      <c r="J36" s="2"/>
      <c r="K36" s="2"/>
      <c r="L36" s="2"/>
      <c r="M36" s="2"/>
      <c r="N36" s="3"/>
      <c r="O36" s="3"/>
      <c r="P36" s="3">
        <v>100</v>
      </c>
    </row>
    <row r="37" spans="9:16">
      <c r="I37" s="2"/>
      <c r="J37" s="2"/>
      <c r="K37" s="3"/>
      <c r="L37" s="2"/>
      <c r="M37" s="2"/>
      <c r="N37" s="2"/>
      <c r="O37" s="2"/>
      <c r="P37" s="3">
        <v>100</v>
      </c>
    </row>
    <row r="38" spans="9:16">
      <c r="I38" s="2"/>
      <c r="J38" s="2"/>
      <c r="K38" s="3"/>
      <c r="L38" s="3"/>
      <c r="M38" s="3"/>
      <c r="N38" s="2"/>
      <c r="O38" s="2"/>
      <c r="P38" s="3">
        <v>100</v>
      </c>
    </row>
    <row r="39" spans="9:16">
      <c r="I39" s="2"/>
      <c r="J39" s="2"/>
      <c r="K39" s="3"/>
      <c r="L39" s="3"/>
      <c r="M39" s="3"/>
      <c r="N39" s="2"/>
      <c r="O39" s="2"/>
      <c r="P39" s="3">
        <v>100</v>
      </c>
    </row>
    <row r="40" spans="9:16">
      <c r="I40" s="2"/>
      <c r="J40" s="2"/>
      <c r="K40" s="3"/>
      <c r="L40" s="2"/>
      <c r="M40" s="2"/>
      <c r="N40" s="2"/>
      <c r="O40" s="2"/>
      <c r="P40" s="3">
        <v>100</v>
      </c>
    </row>
    <row r="41" spans="9:16">
      <c r="I41" s="2"/>
      <c r="J41" s="2"/>
      <c r="K41" s="3"/>
      <c r="L41" s="2"/>
      <c r="M41" s="2"/>
      <c r="N41" s="2"/>
      <c r="O41" s="2"/>
      <c r="P41" s="3">
        <v>100</v>
      </c>
    </row>
    <row r="42" spans="9:16">
      <c r="I42" s="2"/>
      <c r="J42" s="2"/>
      <c r="K42" s="2"/>
      <c r="L42" s="2"/>
      <c r="M42" s="2"/>
      <c r="N42" s="2"/>
      <c r="O42" s="3"/>
      <c r="P42" s="3">
        <v>100</v>
      </c>
    </row>
    <row r="43" spans="9:16">
      <c r="I43" s="2"/>
      <c r="J43" s="2"/>
      <c r="K43" s="2"/>
      <c r="L43" s="2"/>
      <c r="M43" s="2"/>
      <c r="N43" s="2"/>
      <c r="O43" s="3"/>
      <c r="P43" s="3">
        <v>100</v>
      </c>
    </row>
    <row r="44" spans="9:16">
      <c r="I44" s="2"/>
      <c r="J44" s="2"/>
      <c r="K44" s="2"/>
      <c r="L44" s="2"/>
      <c r="M44" s="2"/>
      <c r="N44" s="2"/>
      <c r="O44" s="3"/>
    </row>
    <row r="45" spans="9:16">
      <c r="I45" s="2"/>
      <c r="J45" s="2"/>
      <c r="K45" s="2"/>
      <c r="L45" s="2"/>
      <c r="M45" s="2"/>
      <c r="N45" s="2"/>
      <c r="O45" s="3"/>
    </row>
    <row r="46" spans="9:16">
      <c r="I46" s="2"/>
      <c r="J46" s="2"/>
      <c r="K46" s="3"/>
      <c r="L46" s="3"/>
      <c r="M46" s="3"/>
      <c r="N46" s="2"/>
      <c r="O46" s="3"/>
    </row>
    <row r="47" spans="9:16">
      <c r="I47" s="2"/>
      <c r="J47" s="2"/>
      <c r="K47" s="2"/>
      <c r="L47" s="2"/>
      <c r="M47" s="2"/>
      <c r="N47" s="2"/>
      <c r="O47" s="3"/>
    </row>
    <row r="48" spans="9:16">
      <c r="I48" s="2"/>
      <c r="J48" s="2"/>
      <c r="K48" s="2"/>
      <c r="L48" s="2"/>
      <c r="M48" s="2"/>
      <c r="N48" s="2"/>
      <c r="O48" s="3"/>
    </row>
    <row r="49" spans="9:15">
      <c r="I49" s="2"/>
      <c r="J49" s="2"/>
      <c r="K49" s="3"/>
      <c r="L49" s="3"/>
      <c r="M49" s="3"/>
      <c r="N49" s="2"/>
      <c r="O49" s="3"/>
    </row>
    <row r="50" spans="9:15">
      <c r="I50" s="2"/>
      <c r="J50" s="2"/>
      <c r="K50" s="2"/>
      <c r="L50" s="2"/>
      <c r="M50" s="2"/>
      <c r="N50" s="2"/>
      <c r="O50" s="3"/>
    </row>
  </sheetData>
  <mergeCells count="4">
    <mergeCell ref="G4:H4"/>
    <mergeCell ref="E4:F4"/>
    <mergeCell ref="D14:G14"/>
    <mergeCell ref="D3:H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R50"/>
  <sheetViews>
    <sheetView zoomScale="75" workbookViewId="0">
      <selection activeCell="B31" sqref="B31"/>
    </sheetView>
  </sheetViews>
  <sheetFormatPr defaultRowHeight="16.5"/>
  <cols>
    <col min="4" max="4" width="27" style="16" customWidth="1"/>
    <col min="5" max="8" width="22" style="16" customWidth="1"/>
    <col min="10" max="10" width="22" style="16" bestFit="1" customWidth="1"/>
    <col min="11" max="12" width="17" style="16" customWidth="1"/>
    <col min="13" max="14" width="17" style="16" bestFit="1" customWidth="1"/>
    <col min="15" max="15" width="17" style="16" customWidth="1"/>
    <col min="16" max="16" width="68" style="16" customWidth="1"/>
    <col min="17" max="17" width="57.625" style="16" customWidth="1"/>
    <col min="18" max="18" width="53.25" style="16" customWidth="1"/>
  </cols>
  <sheetData>
    <row r="3" spans="1:16" ht="20.100000000000001" customHeight="1">
      <c r="D3" s="28" t="s">
        <v>92</v>
      </c>
      <c r="E3" s="29"/>
      <c r="F3" s="29"/>
      <c r="G3" s="29"/>
      <c r="H3" s="27"/>
      <c r="J3" s="7" t="s">
        <v>1</v>
      </c>
      <c r="K3" s="7" t="s">
        <v>2</v>
      </c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</row>
    <row r="4" spans="1:16" ht="32.1" customHeight="1">
      <c r="A4" s="17"/>
      <c r="B4" s="17"/>
      <c r="C4" s="17"/>
      <c r="D4" s="9"/>
      <c r="E4" s="36" t="s">
        <v>8</v>
      </c>
      <c r="F4" s="27"/>
      <c r="G4" s="36" t="s">
        <v>77</v>
      </c>
      <c r="H4" s="27"/>
      <c r="I4" s="17"/>
      <c r="J4" s="9" t="s">
        <v>10</v>
      </c>
      <c r="K4" s="20">
        <v>1</v>
      </c>
      <c r="L4" s="20">
        <v>1</v>
      </c>
      <c r="M4" s="20">
        <v>1</v>
      </c>
      <c r="N4" s="20">
        <v>1</v>
      </c>
      <c r="O4" s="20">
        <v>1</v>
      </c>
      <c r="P4" s="8" t="s">
        <v>11</v>
      </c>
    </row>
    <row r="5" spans="1:16" ht="20.100000000000001" customHeight="1">
      <c r="D5" s="5"/>
      <c r="E5" s="5" t="s">
        <v>12</v>
      </c>
      <c r="F5" s="5" t="s">
        <v>13</v>
      </c>
      <c r="G5" s="5" t="s">
        <v>12</v>
      </c>
      <c r="H5" s="5" t="s">
        <v>13</v>
      </c>
      <c r="J5" s="9" t="s">
        <v>14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8" t="s">
        <v>15</v>
      </c>
    </row>
    <row r="6" spans="1:16" ht="20.100000000000001" customHeight="1">
      <c r="D6" s="5" t="s">
        <v>16</v>
      </c>
      <c r="E6" s="18">
        <v>0.17</v>
      </c>
      <c r="F6" s="18">
        <v>0.24</v>
      </c>
      <c r="G6" s="19">
        <v>0.14137931034482731</v>
      </c>
      <c r="H6" s="19">
        <v>0.2137931034482756</v>
      </c>
      <c r="J6" s="9" t="s">
        <v>17</v>
      </c>
      <c r="K6" s="20">
        <v>1</v>
      </c>
      <c r="L6" s="20">
        <v>1</v>
      </c>
      <c r="M6" s="20">
        <v>0.98</v>
      </c>
      <c r="N6" s="20">
        <v>7.9365079365079361E-3</v>
      </c>
      <c r="O6" s="20">
        <v>1</v>
      </c>
      <c r="P6" s="8" t="s">
        <v>18</v>
      </c>
    </row>
    <row r="7" spans="1:16" ht="20.100000000000001" customHeight="1">
      <c r="D7" s="5" t="s">
        <v>22</v>
      </c>
      <c r="E7" s="18">
        <v>0.32653061224489788</v>
      </c>
      <c r="F7" s="18">
        <v>0.36734693877551022</v>
      </c>
      <c r="G7" s="19">
        <v>0.14459114770635151</v>
      </c>
      <c r="H7" s="19">
        <v>0.19568692692713069</v>
      </c>
      <c r="J7" s="9" t="s">
        <v>20</v>
      </c>
      <c r="K7" s="20">
        <v>0.89</v>
      </c>
      <c r="L7" s="20">
        <v>0.66</v>
      </c>
      <c r="M7" s="20">
        <v>0.88</v>
      </c>
      <c r="N7" s="20">
        <v>0.92063492063492058</v>
      </c>
      <c r="O7" s="20">
        <v>1</v>
      </c>
      <c r="P7" s="8" t="s">
        <v>21</v>
      </c>
    </row>
    <row r="8" spans="1:16" ht="20.100000000000001" customHeight="1">
      <c r="D8" s="12" t="s">
        <v>25</v>
      </c>
      <c r="E8" s="21">
        <v>0.24120603015075379</v>
      </c>
      <c r="F8" s="21">
        <v>0.28140703517587939</v>
      </c>
      <c r="G8" s="22">
        <v>0.1745136251956089</v>
      </c>
      <c r="H8" s="22">
        <v>0.21852622401401989</v>
      </c>
      <c r="J8" s="9" t="s">
        <v>23</v>
      </c>
      <c r="K8" s="20">
        <v>1</v>
      </c>
      <c r="L8" s="20">
        <v>0.8</v>
      </c>
      <c r="M8" s="20">
        <v>0.88</v>
      </c>
      <c r="N8" s="20">
        <v>0.84920634920634919</v>
      </c>
      <c r="O8" s="20">
        <v>0.15517241379310351</v>
      </c>
      <c r="P8" s="8" t="s">
        <v>24</v>
      </c>
    </row>
    <row r="9" spans="1:16" ht="20.100000000000001" customHeight="1">
      <c r="D9" s="5" t="s">
        <v>28</v>
      </c>
      <c r="E9" s="18">
        <v>0.5</v>
      </c>
      <c r="F9" s="18">
        <v>0.5</v>
      </c>
      <c r="G9" s="19">
        <v>0.43634731670445942</v>
      </c>
      <c r="H9" s="19">
        <v>0.43699609473418982</v>
      </c>
      <c r="J9" s="9" t="s">
        <v>26</v>
      </c>
      <c r="K9" s="20">
        <v>1</v>
      </c>
      <c r="L9" s="20">
        <v>1</v>
      </c>
      <c r="M9" s="20">
        <v>1</v>
      </c>
      <c r="N9" s="20">
        <v>0</v>
      </c>
      <c r="O9" s="20">
        <v>0.65517241379310343</v>
      </c>
      <c r="P9" s="8" t="s">
        <v>27</v>
      </c>
    </row>
    <row r="10" spans="1:16" ht="20.100000000000001" customHeight="1">
      <c r="D10" s="5" t="s">
        <v>29</v>
      </c>
      <c r="E10" s="18">
        <v>0.2413793103448276</v>
      </c>
      <c r="F10" s="18">
        <v>0.27586206896551718</v>
      </c>
      <c r="G10" s="19">
        <v>0.22095672284229409</v>
      </c>
      <c r="H10" s="19">
        <v>0.25642357339324751</v>
      </c>
      <c r="J10" s="4"/>
      <c r="K10" s="4"/>
      <c r="L10" s="4"/>
      <c r="M10" s="4"/>
      <c r="N10" s="4"/>
      <c r="O10" s="4"/>
    </row>
    <row r="11" spans="1:16" ht="20.100000000000001" customHeight="1">
      <c r="D11" s="12" t="s">
        <v>31</v>
      </c>
      <c r="E11" s="21">
        <v>0.41847826086956519</v>
      </c>
      <c r="F11" s="21">
        <v>0.42934782608695649</v>
      </c>
      <c r="G11" s="22">
        <v>0.36845245559573342</v>
      </c>
      <c r="H11" s="22">
        <v>0.38007649561584927</v>
      </c>
      <c r="J11" s="7" t="s">
        <v>1</v>
      </c>
      <c r="K11" s="7" t="s">
        <v>2</v>
      </c>
      <c r="L11" s="7" t="s">
        <v>3</v>
      </c>
      <c r="M11" s="7" t="s">
        <v>4</v>
      </c>
      <c r="N11" s="7" t="s">
        <v>5</v>
      </c>
      <c r="O11" s="7" t="s">
        <v>6</v>
      </c>
      <c r="P11" s="7" t="s">
        <v>30</v>
      </c>
    </row>
    <row r="12" spans="1:16" ht="20.100000000000001" customHeight="1">
      <c r="J12" s="9" t="s">
        <v>32</v>
      </c>
      <c r="K12" s="20">
        <v>1</v>
      </c>
      <c r="L12" s="20">
        <v>1</v>
      </c>
      <c r="M12" s="20">
        <v>1</v>
      </c>
      <c r="N12" s="20">
        <v>0</v>
      </c>
      <c r="O12" s="20">
        <v>0.65517241379310343</v>
      </c>
      <c r="P12" s="8" t="s">
        <v>33</v>
      </c>
    </row>
    <row r="13" spans="1:16" ht="20.100000000000001" customHeight="1">
      <c r="J13" s="9" t="s">
        <v>34</v>
      </c>
      <c r="K13" s="20">
        <v>1</v>
      </c>
      <c r="L13" s="20">
        <v>0.8</v>
      </c>
      <c r="M13" s="20">
        <v>0.88</v>
      </c>
      <c r="N13" s="20">
        <v>7.9365079365079361E-3</v>
      </c>
      <c r="O13" s="20">
        <v>0.15517241379310351</v>
      </c>
      <c r="P13" s="8" t="s">
        <v>35</v>
      </c>
    </row>
    <row r="14" spans="1:16" ht="20.100000000000001" customHeight="1">
      <c r="D14" s="28" t="s">
        <v>91</v>
      </c>
      <c r="E14" s="29"/>
      <c r="F14" s="29"/>
      <c r="G14" s="29"/>
      <c r="H14" s="27"/>
      <c r="J14" s="9" t="s">
        <v>37</v>
      </c>
      <c r="K14" s="20">
        <v>1</v>
      </c>
      <c r="L14" s="20">
        <v>0.8</v>
      </c>
      <c r="M14" s="20">
        <v>0.88</v>
      </c>
      <c r="N14" s="20">
        <v>7.9365079365079361E-3</v>
      </c>
      <c r="O14" s="20">
        <v>0.15517241379310351</v>
      </c>
      <c r="P14" s="8" t="s">
        <v>38</v>
      </c>
    </row>
    <row r="15" spans="1:16" ht="32.1" customHeight="1">
      <c r="A15" s="17"/>
      <c r="B15" s="17"/>
      <c r="C15" s="17"/>
      <c r="D15" s="7" t="s">
        <v>67</v>
      </c>
      <c r="E15" s="7" t="s">
        <v>78</v>
      </c>
      <c r="F15" s="7" t="s">
        <v>79</v>
      </c>
      <c r="G15" s="7" t="s">
        <v>80</v>
      </c>
      <c r="H15" s="7" t="s">
        <v>81</v>
      </c>
      <c r="I15" s="17"/>
      <c r="J15" s="23"/>
      <c r="K15" s="23"/>
      <c r="L15" s="23"/>
      <c r="M15" s="23"/>
      <c r="N15" s="23"/>
      <c r="O15" s="23"/>
      <c r="P15" s="2"/>
    </row>
    <row r="16" spans="1:16" ht="20.100000000000001" customHeight="1">
      <c r="D16" s="9" t="s">
        <v>73</v>
      </c>
      <c r="E16" s="9" t="s">
        <v>2</v>
      </c>
      <c r="F16" s="24">
        <v>0.98166666666666669</v>
      </c>
      <c r="G16" s="24">
        <v>0.93583333333333329</v>
      </c>
      <c r="H16" s="24">
        <v>0.95111111111111113</v>
      </c>
      <c r="J16" s="7" t="s">
        <v>1</v>
      </c>
      <c r="K16" s="7" t="s">
        <v>2</v>
      </c>
      <c r="L16" s="7" t="s">
        <v>3</v>
      </c>
      <c r="M16" s="7" t="s">
        <v>4</v>
      </c>
      <c r="N16" s="7" t="s">
        <v>5</v>
      </c>
      <c r="O16" s="7" t="s">
        <v>6</v>
      </c>
      <c r="P16" s="7" t="s">
        <v>30</v>
      </c>
    </row>
    <row r="17" spans="1:16" ht="20.100000000000001" customHeight="1">
      <c r="D17" s="9" t="s">
        <v>73</v>
      </c>
      <c r="E17" s="9" t="s">
        <v>4</v>
      </c>
      <c r="F17" s="24">
        <v>0.95666666666666667</v>
      </c>
      <c r="G17" s="24">
        <v>0.90666666666666662</v>
      </c>
      <c r="H17" s="24">
        <v>0.92333333333333334</v>
      </c>
      <c r="J17" s="9" t="s">
        <v>45</v>
      </c>
      <c r="K17" s="20">
        <v>0.89</v>
      </c>
      <c r="L17" s="20">
        <v>0.66</v>
      </c>
      <c r="M17" s="20">
        <v>0.88</v>
      </c>
      <c r="N17" s="20">
        <v>7.9365079365079361E-3</v>
      </c>
      <c r="O17" s="20">
        <v>1</v>
      </c>
      <c r="P17" s="8" t="s">
        <v>46</v>
      </c>
    </row>
    <row r="18" spans="1:16" ht="20.100000000000001" customHeight="1">
      <c r="A18" s="1"/>
      <c r="B18" s="1"/>
      <c r="C18" s="1"/>
      <c r="D18" s="9" t="s">
        <v>74</v>
      </c>
      <c r="E18" s="9" t="s">
        <v>75</v>
      </c>
      <c r="F18" s="24">
        <v>0.62962962962962965</v>
      </c>
      <c r="G18" s="24">
        <v>7.2751322751322704E-3</v>
      </c>
      <c r="H18" s="24">
        <v>0.21472663139329809</v>
      </c>
      <c r="J18" s="9" t="s">
        <v>48</v>
      </c>
      <c r="K18" s="20">
        <v>0.89</v>
      </c>
      <c r="L18" s="20">
        <v>0.66</v>
      </c>
      <c r="M18" s="20">
        <v>0.88</v>
      </c>
      <c r="N18" s="20">
        <v>7.9365079365079361E-3</v>
      </c>
      <c r="O18" s="20">
        <v>1</v>
      </c>
      <c r="P18" s="8" t="s">
        <v>49</v>
      </c>
    </row>
    <row r="19" spans="1:16" ht="20.100000000000001" customHeight="1">
      <c r="A19" s="2"/>
      <c r="B19" s="2"/>
      <c r="C19" s="2"/>
      <c r="D19" s="9" t="s">
        <v>74</v>
      </c>
      <c r="E19" s="9" t="s">
        <v>76</v>
      </c>
      <c r="F19" s="24">
        <v>0.80172413793103448</v>
      </c>
      <c r="G19" s="24">
        <v>0.83045977011494254</v>
      </c>
      <c r="H19" s="24">
        <v>0.82088122605363989</v>
      </c>
      <c r="J19" s="9" t="s">
        <v>51</v>
      </c>
      <c r="K19" s="20">
        <v>0.89</v>
      </c>
      <c r="L19" s="20">
        <v>0.66</v>
      </c>
      <c r="M19" s="20">
        <v>0.88</v>
      </c>
      <c r="N19" s="20">
        <v>7.9365079365079361E-3</v>
      </c>
      <c r="O19" s="20">
        <v>1</v>
      </c>
      <c r="P19" s="8" t="s">
        <v>52</v>
      </c>
    </row>
    <row r="20" spans="1:16" ht="20.100000000000001" customHeight="1">
      <c r="A20" s="2"/>
      <c r="B20" s="2"/>
      <c r="C20" s="2"/>
      <c r="D20" s="9"/>
      <c r="E20" s="9"/>
      <c r="F20" s="24"/>
      <c r="G20" s="24"/>
      <c r="H20" s="24"/>
      <c r="J20" s="9" t="s">
        <v>54</v>
      </c>
      <c r="K20" s="20">
        <v>0.89</v>
      </c>
      <c r="L20" s="20">
        <v>0.66</v>
      </c>
      <c r="M20" s="20">
        <v>0.88</v>
      </c>
      <c r="N20" s="20">
        <v>7.9365079365079361E-3</v>
      </c>
      <c r="O20" s="20">
        <v>1</v>
      </c>
      <c r="P20" s="8" t="s">
        <v>55</v>
      </c>
    </row>
    <row r="21" spans="1:16" ht="20.100000000000001" customHeight="1">
      <c r="A21" s="2"/>
      <c r="B21" s="2"/>
      <c r="C21" s="2"/>
      <c r="D21" s="9"/>
      <c r="E21" s="9"/>
      <c r="F21" s="24"/>
      <c r="G21" s="24"/>
      <c r="H21" s="24"/>
      <c r="J21" s="9" t="s">
        <v>56</v>
      </c>
      <c r="K21" s="20">
        <v>1</v>
      </c>
      <c r="L21" s="20">
        <v>1</v>
      </c>
      <c r="M21" s="20">
        <v>0.98</v>
      </c>
      <c r="N21" s="20">
        <v>7.9365079365079361E-3</v>
      </c>
      <c r="O21" s="20">
        <v>1</v>
      </c>
      <c r="P21" s="8" t="s">
        <v>57</v>
      </c>
    </row>
    <row r="22" spans="1:16" ht="20.100000000000001" customHeight="1">
      <c r="A22" s="3"/>
      <c r="B22" s="1"/>
      <c r="C22" s="1"/>
      <c r="J22" s="9" t="s">
        <v>58</v>
      </c>
      <c r="K22" s="20">
        <v>0.89</v>
      </c>
      <c r="L22" s="20">
        <v>0.66</v>
      </c>
      <c r="M22" s="20">
        <v>0.88</v>
      </c>
      <c r="N22" s="20">
        <v>7.9365079365079361E-3</v>
      </c>
      <c r="O22" s="20">
        <v>1</v>
      </c>
      <c r="P22" s="8" t="s">
        <v>59</v>
      </c>
    </row>
    <row r="23" spans="1:16" ht="20.100000000000001" customHeight="1">
      <c r="A23" s="2"/>
      <c r="B23" s="2"/>
      <c r="C23" s="2"/>
      <c r="D23" s="2"/>
      <c r="E23" s="2"/>
      <c r="F23" s="2"/>
      <c r="G23" s="2"/>
      <c r="H23" s="2"/>
      <c r="J23" s="9" t="s">
        <v>60</v>
      </c>
      <c r="K23" s="20">
        <v>0.89</v>
      </c>
      <c r="L23" s="20">
        <v>0.66</v>
      </c>
      <c r="M23" s="20">
        <v>0.88</v>
      </c>
      <c r="N23" s="20">
        <v>7.9365079365079361E-3</v>
      </c>
      <c r="O23" s="20">
        <v>1</v>
      </c>
      <c r="P23" s="8" t="s">
        <v>61</v>
      </c>
    </row>
    <row r="24" spans="1:16" ht="20.100000000000001" customHeight="1">
      <c r="A24" s="2"/>
      <c r="B24" s="2"/>
      <c r="C24" s="2"/>
      <c r="D24" s="2"/>
      <c r="E24" s="2"/>
      <c r="F24" s="2"/>
      <c r="G24" s="2"/>
      <c r="H24" s="2"/>
      <c r="J24" s="9" t="s">
        <v>62</v>
      </c>
      <c r="K24" s="20">
        <v>1</v>
      </c>
      <c r="L24" s="20">
        <v>1</v>
      </c>
      <c r="M24" s="20">
        <v>0.98</v>
      </c>
      <c r="N24" s="20">
        <v>7.9365079365079361E-3</v>
      </c>
      <c r="O24" s="20">
        <v>1</v>
      </c>
      <c r="P24" s="8" t="s">
        <v>63</v>
      </c>
    </row>
    <row r="25" spans="1:16" ht="20.100000000000001" customHeight="1">
      <c r="A25" s="3"/>
      <c r="B25" s="2"/>
      <c r="C25" s="2"/>
      <c r="D25" s="28" t="s">
        <v>93</v>
      </c>
      <c r="E25" s="29"/>
      <c r="F25" s="29"/>
      <c r="G25" s="29"/>
      <c r="H25" s="27"/>
      <c r="J25" s="9" t="s">
        <v>64</v>
      </c>
      <c r="K25" s="20">
        <v>0.89</v>
      </c>
      <c r="L25" s="20">
        <v>0.66</v>
      </c>
      <c r="M25" s="20">
        <v>0.88</v>
      </c>
      <c r="N25" s="20">
        <v>7.9365079365079361E-3</v>
      </c>
      <c r="O25" s="20">
        <v>1</v>
      </c>
      <c r="P25" s="8" t="s">
        <v>65</v>
      </c>
    </row>
    <row r="26" spans="1:16" ht="32.1" customHeight="1">
      <c r="A26" s="17"/>
      <c r="B26" s="3"/>
      <c r="C26" s="3"/>
      <c r="D26" s="9"/>
      <c r="E26" s="36" t="s">
        <v>82</v>
      </c>
      <c r="F26" s="27"/>
      <c r="G26" s="36" t="s">
        <v>77</v>
      </c>
      <c r="H26" s="27"/>
      <c r="I26" s="17"/>
      <c r="J26" s="2"/>
      <c r="K26" s="2"/>
      <c r="L26" s="3"/>
      <c r="M26" s="3"/>
      <c r="N26" s="3"/>
      <c r="O26" s="3"/>
      <c r="P26" s="3"/>
    </row>
    <row r="27" spans="1:16">
      <c r="B27" s="2"/>
      <c r="C27" s="2"/>
      <c r="D27" s="5"/>
      <c r="E27" s="5" t="s">
        <v>12</v>
      </c>
      <c r="F27" s="5" t="s">
        <v>13</v>
      </c>
      <c r="G27" s="5" t="s">
        <v>12</v>
      </c>
      <c r="H27" s="5" t="s">
        <v>13</v>
      </c>
      <c r="J27" s="2"/>
      <c r="K27" s="2"/>
      <c r="L27" s="3"/>
      <c r="M27" s="3"/>
      <c r="N27" s="3"/>
      <c r="O27" s="3"/>
      <c r="P27" s="3"/>
    </row>
    <row r="28" spans="1:16">
      <c r="B28" s="2"/>
      <c r="C28" s="2"/>
      <c r="D28" s="5" t="s">
        <v>28</v>
      </c>
      <c r="E28" s="18">
        <v>0.66666666666666663</v>
      </c>
      <c r="F28" s="18">
        <v>0.66666666666666663</v>
      </c>
      <c r="G28" s="19">
        <v>0.53494623655913998</v>
      </c>
      <c r="H28" s="19">
        <v>0.53494623655913953</v>
      </c>
      <c r="J28" s="37"/>
      <c r="K28" s="34"/>
      <c r="L28" s="34"/>
      <c r="M28" s="34"/>
      <c r="N28" s="34"/>
      <c r="O28" s="34"/>
      <c r="P28" s="34"/>
    </row>
    <row r="29" spans="1:16" ht="32.1" customHeight="1">
      <c r="A29" s="17"/>
      <c r="B29" s="3"/>
      <c r="C29" s="3"/>
      <c r="D29" s="9" t="s">
        <v>29</v>
      </c>
      <c r="E29" s="24">
        <v>0.60344827586206895</v>
      </c>
      <c r="F29" s="24">
        <v>0.55172413793103448</v>
      </c>
      <c r="G29" s="25">
        <v>0.44971264367816111</v>
      </c>
      <c r="H29" s="25">
        <v>0.3830459770114944</v>
      </c>
      <c r="I29" s="17"/>
      <c r="J29" s="1"/>
      <c r="K29" s="1"/>
      <c r="L29" s="1"/>
      <c r="M29" s="1"/>
      <c r="N29" s="1"/>
      <c r="O29" s="1"/>
      <c r="P29" s="1"/>
    </row>
    <row r="30" spans="1:16">
      <c r="D30" s="12" t="s">
        <v>31</v>
      </c>
      <c r="E30" s="21">
        <v>0.64673913043478259</v>
      </c>
      <c r="F30" s="21">
        <v>0.63043478260869568</v>
      </c>
      <c r="G30" s="22">
        <v>0.5077838827838832</v>
      </c>
      <c r="H30" s="22">
        <v>0.4865384615384617</v>
      </c>
      <c r="J30" s="23"/>
      <c r="K30" s="23"/>
      <c r="L30" s="23"/>
      <c r="M30" s="23"/>
      <c r="N30" s="23"/>
      <c r="O30" s="23"/>
      <c r="P30" s="2"/>
    </row>
    <row r="31" spans="1:16">
      <c r="I31" s="1"/>
      <c r="J31" s="23"/>
      <c r="K31" s="23"/>
      <c r="L31" s="23"/>
      <c r="M31" s="23"/>
      <c r="N31" s="23"/>
      <c r="O31" s="23"/>
      <c r="P31" s="2"/>
    </row>
    <row r="32" spans="1:16">
      <c r="I32" s="3"/>
      <c r="J32" s="23"/>
      <c r="K32" s="23"/>
      <c r="L32" s="23"/>
      <c r="M32" s="23"/>
      <c r="N32" s="23"/>
      <c r="O32" s="23"/>
      <c r="P32" s="2"/>
    </row>
    <row r="33" spans="4:16">
      <c r="I33" s="2"/>
      <c r="J33" s="23"/>
      <c r="K33" s="23"/>
      <c r="L33" s="23"/>
      <c r="M33" s="23"/>
      <c r="N33" s="23"/>
      <c r="O33" s="23"/>
      <c r="P33" s="2"/>
    </row>
    <row r="34" spans="4:16">
      <c r="I34" s="2"/>
      <c r="J34" s="23"/>
      <c r="K34" s="23"/>
      <c r="L34" s="23"/>
      <c r="M34" s="23"/>
      <c r="N34" s="23"/>
      <c r="O34" s="23"/>
      <c r="P34" s="2"/>
    </row>
    <row r="35" spans="4:16">
      <c r="I35" s="2"/>
      <c r="J35" s="2"/>
      <c r="K35" s="3"/>
      <c r="L35" s="3"/>
      <c r="M35" s="3"/>
      <c r="N35" s="2"/>
      <c r="O35" s="3"/>
      <c r="P35" s="3"/>
    </row>
    <row r="36" spans="4:16">
      <c r="I36" s="2"/>
      <c r="J36" s="2"/>
      <c r="K36" s="2"/>
      <c r="L36" s="2"/>
      <c r="M36" s="2"/>
      <c r="N36" s="3"/>
      <c r="O36" s="3"/>
      <c r="P36" s="3"/>
    </row>
    <row r="37" spans="4:16" ht="30" customHeight="1">
      <c r="D37" s="33" t="s">
        <v>83</v>
      </c>
      <c r="E37" s="34"/>
      <c r="F37" s="34"/>
      <c r="G37" s="34"/>
      <c r="H37" s="34"/>
      <c r="I37" s="35"/>
      <c r="J37" s="34"/>
      <c r="K37" s="34"/>
      <c r="L37" s="34"/>
      <c r="M37" s="34"/>
      <c r="N37" s="34"/>
      <c r="O37" s="34"/>
      <c r="P37" s="34"/>
    </row>
    <row r="38" spans="4:16" ht="30" customHeight="1">
      <c r="D38" s="33" t="s">
        <v>84</v>
      </c>
      <c r="E38" s="34"/>
      <c r="F38" s="34"/>
      <c r="G38" s="34"/>
      <c r="H38" s="34"/>
      <c r="I38" s="35"/>
      <c r="J38" s="34"/>
      <c r="K38" s="34"/>
      <c r="L38" s="34"/>
      <c r="M38" s="34"/>
      <c r="N38" s="34"/>
      <c r="O38" s="34"/>
      <c r="P38" s="34"/>
    </row>
    <row r="39" spans="4:16" ht="30" customHeight="1">
      <c r="D39" s="33" t="s">
        <v>85</v>
      </c>
      <c r="E39" s="34"/>
      <c r="F39" s="34"/>
      <c r="G39" s="34"/>
      <c r="H39" s="34"/>
      <c r="I39" s="35"/>
      <c r="J39" s="34"/>
      <c r="K39" s="34"/>
      <c r="L39" s="34"/>
      <c r="M39" s="34"/>
      <c r="N39" s="34"/>
      <c r="O39" s="34"/>
      <c r="P39" s="34"/>
    </row>
    <row r="40" spans="4:16" ht="30" customHeight="1">
      <c r="D40" s="33" t="s">
        <v>86</v>
      </c>
      <c r="E40" s="34"/>
      <c r="F40" s="34"/>
      <c r="G40" s="34"/>
      <c r="H40" s="34"/>
      <c r="I40" s="35"/>
      <c r="J40" s="34"/>
      <c r="K40" s="34"/>
      <c r="L40" s="34"/>
      <c r="M40" s="34"/>
      <c r="N40" s="34"/>
      <c r="O40" s="34"/>
      <c r="P40" s="34"/>
    </row>
    <row r="41" spans="4:16" ht="30" customHeight="1">
      <c r="D41" s="33" t="s">
        <v>87</v>
      </c>
      <c r="E41" s="34"/>
      <c r="F41" s="34"/>
      <c r="G41" s="34"/>
      <c r="H41" s="34"/>
      <c r="I41" s="35"/>
      <c r="J41" s="34"/>
      <c r="K41" s="34"/>
      <c r="L41" s="34"/>
      <c r="M41" s="34"/>
      <c r="N41" s="34"/>
      <c r="O41" s="34"/>
      <c r="P41" s="34"/>
    </row>
    <row r="42" spans="4:16" ht="30" customHeight="1">
      <c r="D42" s="33" t="s">
        <v>88</v>
      </c>
      <c r="E42" s="34"/>
      <c r="F42" s="34"/>
      <c r="G42" s="34"/>
      <c r="H42" s="34"/>
      <c r="I42" s="35"/>
      <c r="J42" s="34"/>
      <c r="K42" s="34"/>
      <c r="L42" s="34"/>
      <c r="M42" s="34"/>
      <c r="N42" s="34"/>
      <c r="O42" s="34"/>
      <c r="P42" s="34"/>
    </row>
    <row r="43" spans="4:16" ht="30" customHeight="1">
      <c r="D43" s="33" t="s">
        <v>89</v>
      </c>
      <c r="E43" s="34"/>
      <c r="F43" s="34"/>
      <c r="G43" s="34"/>
      <c r="H43" s="34"/>
      <c r="I43" s="35"/>
      <c r="J43" s="34"/>
      <c r="K43" s="34"/>
      <c r="L43" s="34"/>
      <c r="M43" s="34"/>
      <c r="N43" s="34"/>
      <c r="O43" s="34"/>
      <c r="P43" s="34"/>
    </row>
    <row r="44" spans="4:16" ht="30" customHeight="1">
      <c r="D44" s="33" t="s">
        <v>90</v>
      </c>
      <c r="E44" s="34"/>
      <c r="F44" s="34"/>
      <c r="G44" s="34"/>
      <c r="H44" s="34"/>
      <c r="I44" s="35"/>
      <c r="J44" s="34"/>
      <c r="K44" s="34"/>
      <c r="L44" s="34"/>
      <c r="M44" s="34"/>
      <c r="N44" s="34"/>
      <c r="O44" s="34"/>
      <c r="P44" s="34"/>
    </row>
    <row r="45" spans="4:16">
      <c r="I45" s="2"/>
      <c r="J45" s="2"/>
      <c r="K45" s="2"/>
      <c r="L45" s="2"/>
      <c r="M45" s="2"/>
      <c r="N45" s="2"/>
      <c r="O45" s="3"/>
    </row>
    <row r="46" spans="4:16">
      <c r="I46" s="2"/>
      <c r="J46" s="2"/>
      <c r="K46" s="3"/>
      <c r="L46" s="3"/>
      <c r="M46" s="3"/>
      <c r="N46" s="2"/>
      <c r="O46" s="3"/>
    </row>
    <row r="47" spans="4:16">
      <c r="I47" s="2"/>
      <c r="J47" s="2"/>
      <c r="K47" s="2"/>
      <c r="L47" s="2"/>
      <c r="M47" s="2"/>
      <c r="N47" s="2"/>
      <c r="O47" s="3"/>
    </row>
    <row r="48" spans="4:16">
      <c r="I48" s="2"/>
      <c r="J48" s="2"/>
      <c r="K48" s="2"/>
      <c r="L48" s="2"/>
      <c r="M48" s="2"/>
      <c r="N48" s="2"/>
      <c r="O48" s="3"/>
    </row>
    <row r="49" spans="9:15">
      <c r="I49" s="2"/>
      <c r="J49" s="2"/>
      <c r="K49" s="3"/>
      <c r="L49" s="3"/>
      <c r="M49" s="3"/>
      <c r="N49" s="2"/>
      <c r="O49" s="3"/>
    </row>
    <row r="50" spans="9:15">
      <c r="I50" s="2"/>
      <c r="J50" s="2"/>
      <c r="K50" s="2"/>
      <c r="L50" s="2"/>
      <c r="M50" s="2"/>
      <c r="N50" s="2"/>
      <c r="O50" s="3"/>
    </row>
  </sheetData>
  <mergeCells count="16">
    <mergeCell ref="D3:H3"/>
    <mergeCell ref="J28:P28"/>
    <mergeCell ref="D40:P40"/>
    <mergeCell ref="D41:P41"/>
    <mergeCell ref="D42:P42"/>
    <mergeCell ref="G4:H4"/>
    <mergeCell ref="E4:F4"/>
    <mergeCell ref="D44:P44"/>
    <mergeCell ref="D14:H14"/>
    <mergeCell ref="D39:P39"/>
    <mergeCell ref="E26:F26"/>
    <mergeCell ref="D43:P43"/>
    <mergeCell ref="G26:H26"/>
    <mergeCell ref="D38:P38"/>
    <mergeCell ref="D25:H25"/>
    <mergeCell ref="D37:P37"/>
  </mergeCells>
  <phoneticPr fontId="2" type="noConversion"/>
  <pageMargins left="0.7" right="0.7" top="0.75" bottom="0.75" header="0.3" footer="0.3"/>
  <pageSetup paperSize="8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F674-DE34-4A89-8262-3DC89A1F86BD}">
  <sheetPr>
    <pageSetUpPr fitToPage="1"/>
  </sheetPr>
  <dimension ref="A3:R50"/>
  <sheetViews>
    <sheetView tabSelected="1" zoomScale="75" workbookViewId="0">
      <selection activeCell="I23" sqref="I23"/>
    </sheetView>
  </sheetViews>
  <sheetFormatPr defaultRowHeight="16.5"/>
  <cols>
    <col min="1" max="2" width="9" style="38"/>
    <col min="3" max="3" width="12.75" style="38" customWidth="1"/>
    <col min="4" max="4" width="13.125" style="39" customWidth="1"/>
    <col min="5" max="7" width="22" style="39" customWidth="1"/>
    <col min="8" max="8" width="16" style="39" customWidth="1"/>
    <col min="9" max="9" width="14.875" style="38" customWidth="1"/>
    <col min="10" max="10" width="22" style="39" bestFit="1" customWidth="1"/>
    <col min="11" max="12" width="17" style="39" customWidth="1"/>
    <col min="13" max="14" width="17" style="39" bestFit="1" customWidth="1"/>
    <col min="15" max="15" width="17" style="39" customWidth="1"/>
    <col min="16" max="16" width="68" style="39" customWidth="1"/>
    <col min="17" max="17" width="57.625" style="39" customWidth="1"/>
    <col min="18" max="18" width="53.25" style="39" customWidth="1"/>
    <col min="19" max="16384" width="9" style="38"/>
  </cols>
  <sheetData>
    <row r="3" spans="1:17" s="39" customFormat="1" ht="20.100000000000001" customHeight="1">
      <c r="A3" s="38"/>
      <c r="B3" s="38"/>
      <c r="C3" s="38"/>
      <c r="I3" s="38"/>
      <c r="K3" s="7" t="s">
        <v>1</v>
      </c>
      <c r="L3" s="7" t="s">
        <v>2</v>
      </c>
      <c r="M3" s="7" t="s">
        <v>3</v>
      </c>
      <c r="N3" s="7" t="s">
        <v>4</v>
      </c>
      <c r="O3" s="7" t="s">
        <v>5</v>
      </c>
      <c r="P3" s="7" t="s">
        <v>6</v>
      </c>
      <c r="Q3" s="7" t="s">
        <v>7</v>
      </c>
    </row>
    <row r="4" spans="1:17" s="39" customFormat="1" ht="32.1" customHeight="1">
      <c r="A4" s="40"/>
      <c r="B4" s="40"/>
      <c r="C4" s="40"/>
      <c r="D4" s="28" t="s">
        <v>99</v>
      </c>
      <c r="E4" s="49"/>
      <c r="F4" s="49"/>
      <c r="G4" s="49"/>
      <c r="H4" s="49"/>
      <c r="I4" s="40"/>
      <c r="K4" s="11" t="s">
        <v>10</v>
      </c>
      <c r="L4" s="20">
        <v>1</v>
      </c>
      <c r="M4" s="20">
        <v>1</v>
      </c>
      <c r="N4" s="20">
        <v>1</v>
      </c>
      <c r="O4" s="20">
        <v>1</v>
      </c>
      <c r="P4" s="20">
        <v>1</v>
      </c>
      <c r="Q4" s="41" t="s">
        <v>11</v>
      </c>
    </row>
    <row r="5" spans="1:17" s="39" customFormat="1" ht="20.100000000000001" customHeight="1">
      <c r="A5" s="38"/>
      <c r="B5" s="38"/>
      <c r="C5" s="38"/>
      <c r="D5" s="50" t="s">
        <v>67</v>
      </c>
      <c r="E5" s="50" t="s">
        <v>94</v>
      </c>
      <c r="F5" s="50" t="s">
        <v>8</v>
      </c>
      <c r="G5" s="50"/>
      <c r="H5" s="50"/>
      <c r="I5" s="38"/>
      <c r="K5" s="11" t="s">
        <v>14</v>
      </c>
      <c r="L5" s="20">
        <v>1</v>
      </c>
      <c r="M5" s="20">
        <v>1</v>
      </c>
      <c r="N5" s="20">
        <v>1</v>
      </c>
      <c r="O5" s="20">
        <v>1</v>
      </c>
      <c r="P5" s="20">
        <v>1</v>
      </c>
      <c r="Q5" s="41" t="s">
        <v>15</v>
      </c>
    </row>
    <row r="6" spans="1:17" s="39" customFormat="1" ht="20.100000000000001" customHeight="1">
      <c r="A6" s="38"/>
      <c r="B6" s="38"/>
      <c r="C6" s="38"/>
      <c r="D6" s="50"/>
      <c r="E6" s="50"/>
      <c r="F6" s="51" t="s">
        <v>95</v>
      </c>
      <c r="G6" s="51" t="s">
        <v>96</v>
      </c>
      <c r="H6" s="51" t="s">
        <v>97</v>
      </c>
      <c r="I6" s="38"/>
      <c r="K6" s="11" t="s">
        <v>17</v>
      </c>
      <c r="L6" s="20">
        <v>1</v>
      </c>
      <c r="M6" s="20">
        <v>1</v>
      </c>
      <c r="N6" s="20">
        <v>0.98</v>
      </c>
      <c r="O6" s="20">
        <v>7.9365079365079361E-3</v>
      </c>
      <c r="P6" s="20">
        <v>1</v>
      </c>
      <c r="Q6" s="41" t="s">
        <v>18</v>
      </c>
    </row>
    <row r="7" spans="1:17" s="39" customFormat="1" ht="20.100000000000001" customHeight="1">
      <c r="A7" s="38"/>
      <c r="B7" s="38"/>
      <c r="C7" s="38"/>
      <c r="D7" s="52" t="s">
        <v>73</v>
      </c>
      <c r="E7" s="53" t="s">
        <v>2</v>
      </c>
      <c r="F7" s="54">
        <v>0.17</v>
      </c>
      <c r="G7" s="60">
        <v>0.24</v>
      </c>
      <c r="H7" s="55" t="str">
        <f>G18</f>
        <v>+7.0</v>
      </c>
      <c r="I7" s="38"/>
      <c r="K7" s="11" t="s">
        <v>20</v>
      </c>
      <c r="L7" s="20">
        <v>0.89</v>
      </c>
      <c r="M7" s="20">
        <v>0.66</v>
      </c>
      <c r="N7" s="20">
        <v>0.88</v>
      </c>
      <c r="O7" s="20">
        <v>0.92063492063492058</v>
      </c>
      <c r="P7" s="20">
        <v>1</v>
      </c>
      <c r="Q7" s="41" t="s">
        <v>21</v>
      </c>
    </row>
    <row r="8" spans="1:17" s="39" customFormat="1" ht="20.100000000000001" customHeight="1">
      <c r="A8" s="38"/>
      <c r="B8" s="38"/>
      <c r="C8" s="38"/>
      <c r="D8" s="52"/>
      <c r="E8" s="53" t="s">
        <v>4</v>
      </c>
      <c r="F8" s="54">
        <v>0.32700000000000001</v>
      </c>
      <c r="G8" s="60">
        <v>0.36699999999999999</v>
      </c>
      <c r="H8" s="55">
        <f>ROUND((G8-F8)*100,1)</f>
        <v>4</v>
      </c>
      <c r="I8" s="38"/>
      <c r="K8" s="11" t="s">
        <v>23</v>
      </c>
      <c r="L8" s="20">
        <v>1</v>
      </c>
      <c r="M8" s="20">
        <v>0.8</v>
      </c>
      <c r="N8" s="20">
        <v>0.88</v>
      </c>
      <c r="O8" s="20">
        <v>0.84920634920634919</v>
      </c>
      <c r="P8" s="20">
        <v>0.15517241379310351</v>
      </c>
      <c r="Q8" s="41" t="s">
        <v>24</v>
      </c>
    </row>
    <row r="9" spans="1:17" s="39" customFormat="1" ht="20.100000000000001" customHeight="1">
      <c r="A9" s="38"/>
      <c r="B9" s="38"/>
      <c r="C9" s="38"/>
      <c r="D9" s="52"/>
      <c r="E9" s="56" t="s">
        <v>98</v>
      </c>
      <c r="F9" s="59">
        <v>0.24099999999999999</v>
      </c>
      <c r="G9" s="57">
        <v>0.28100000000000003</v>
      </c>
      <c r="H9" s="58">
        <f t="shared" ref="H7:H12" si="0">ROUND((G9-F9)*100,1)</f>
        <v>4</v>
      </c>
      <c r="I9" s="38"/>
      <c r="K9" s="11" t="s">
        <v>26</v>
      </c>
      <c r="L9" s="20">
        <v>1</v>
      </c>
      <c r="M9" s="20">
        <v>1</v>
      </c>
      <c r="N9" s="20">
        <v>1</v>
      </c>
      <c r="O9" s="20">
        <v>0</v>
      </c>
      <c r="P9" s="20">
        <v>0.65517241379310343</v>
      </c>
      <c r="Q9" s="41" t="s">
        <v>27</v>
      </c>
    </row>
    <row r="10" spans="1:17" s="39" customFormat="1" ht="20.100000000000001" customHeight="1">
      <c r="A10" s="38"/>
      <c r="B10" s="38"/>
      <c r="C10" s="38"/>
      <c r="D10" s="52" t="s">
        <v>74</v>
      </c>
      <c r="E10" s="53" t="s">
        <v>101</v>
      </c>
      <c r="F10" s="54">
        <v>0.24099999999999999</v>
      </c>
      <c r="G10" s="60">
        <v>0.27600000000000002</v>
      </c>
      <c r="H10" s="55">
        <f>ROUND((G10-F10)*100,1)</f>
        <v>3.5</v>
      </c>
      <c r="I10" s="38"/>
      <c r="K10" s="42"/>
      <c r="L10" s="42"/>
      <c r="M10" s="42"/>
      <c r="N10" s="42"/>
      <c r="O10" s="42"/>
      <c r="P10" s="42"/>
    </row>
    <row r="11" spans="1:17" s="39" customFormat="1" ht="20.100000000000001" customHeight="1">
      <c r="A11" s="38"/>
      <c r="B11" s="38"/>
      <c r="C11" s="38"/>
      <c r="D11" s="52"/>
      <c r="E11" s="53" t="s">
        <v>100</v>
      </c>
      <c r="F11" s="54">
        <v>0.5</v>
      </c>
      <c r="G11" s="54">
        <v>0.5</v>
      </c>
      <c r="H11" s="55">
        <f>ROUND((G11-F11)*100,1)</f>
        <v>0</v>
      </c>
      <c r="I11" s="38"/>
      <c r="K11" s="7" t="s">
        <v>1</v>
      </c>
      <c r="L11" s="7" t="s">
        <v>2</v>
      </c>
      <c r="M11" s="7" t="s">
        <v>3</v>
      </c>
      <c r="N11" s="7" t="s">
        <v>4</v>
      </c>
      <c r="O11" s="7" t="s">
        <v>5</v>
      </c>
      <c r="P11" s="7" t="s">
        <v>6</v>
      </c>
      <c r="Q11" s="7" t="s">
        <v>30</v>
      </c>
    </row>
    <row r="12" spans="1:17" s="39" customFormat="1" ht="20.100000000000001" customHeight="1">
      <c r="A12" s="38"/>
      <c r="B12" s="38"/>
      <c r="C12" s="38"/>
      <c r="D12" s="52"/>
      <c r="E12" s="56" t="s">
        <v>98</v>
      </c>
      <c r="F12" s="59">
        <v>0.41799999999999998</v>
      </c>
      <c r="G12" s="57">
        <v>0.42899999999999999</v>
      </c>
      <c r="H12" s="58">
        <f t="shared" si="0"/>
        <v>1.1000000000000001</v>
      </c>
      <c r="I12" s="38"/>
      <c r="K12" s="11" t="s">
        <v>32</v>
      </c>
      <c r="L12" s="20">
        <v>1</v>
      </c>
      <c r="M12" s="20">
        <v>1</v>
      </c>
      <c r="N12" s="20">
        <v>1</v>
      </c>
      <c r="O12" s="20">
        <v>0</v>
      </c>
      <c r="P12" s="20">
        <v>0.65517241379310343</v>
      </c>
      <c r="Q12" s="41" t="s">
        <v>33</v>
      </c>
    </row>
    <row r="13" spans="1:17" s="39" customFormat="1" ht="20.100000000000001" customHeight="1">
      <c r="A13" s="38"/>
      <c r="B13" s="38"/>
      <c r="C13" s="1"/>
      <c r="D13" s="1"/>
      <c r="E13" s="1"/>
      <c r="F13" s="1"/>
      <c r="G13" s="1"/>
      <c r="H13" s="1"/>
      <c r="I13" s="38"/>
      <c r="K13" s="11" t="s">
        <v>34</v>
      </c>
      <c r="L13" s="20">
        <v>1</v>
      </c>
      <c r="M13" s="20">
        <v>0.8</v>
      </c>
      <c r="N13" s="20">
        <v>0.88</v>
      </c>
      <c r="O13" s="20">
        <v>7.9365079365079361E-3</v>
      </c>
      <c r="P13" s="20">
        <v>0.15517241379310351</v>
      </c>
      <c r="Q13" s="41" t="s">
        <v>35</v>
      </c>
    </row>
    <row r="14" spans="1:17" s="39" customFormat="1" ht="20.100000000000001" customHeight="1">
      <c r="A14" s="38"/>
      <c r="B14" s="38"/>
      <c r="C14" s="43"/>
      <c r="D14" s="43"/>
      <c r="E14" s="43"/>
      <c r="F14" s="43"/>
      <c r="G14" s="43"/>
      <c r="H14" s="44"/>
      <c r="I14" s="38"/>
      <c r="K14" s="11" t="s">
        <v>37</v>
      </c>
      <c r="L14" s="20">
        <v>1</v>
      </c>
      <c r="M14" s="20">
        <v>0.8</v>
      </c>
      <c r="N14" s="20">
        <v>0.88</v>
      </c>
      <c r="O14" s="20">
        <v>7.9365079365079361E-3</v>
      </c>
      <c r="P14" s="20">
        <v>0.15517241379310351</v>
      </c>
      <c r="Q14" s="41" t="s">
        <v>38</v>
      </c>
    </row>
    <row r="15" spans="1:17" s="39" customFormat="1" ht="32.1" customHeight="1">
      <c r="A15" s="40"/>
      <c r="B15" s="40"/>
      <c r="D15" s="50" t="s">
        <v>105</v>
      </c>
      <c r="E15" s="50"/>
      <c r="F15" s="50"/>
      <c r="G15" s="50"/>
      <c r="K15" s="43"/>
      <c r="L15" s="43"/>
      <c r="M15" s="43"/>
      <c r="N15" s="43"/>
      <c r="O15" s="43"/>
      <c r="P15" s="43"/>
      <c r="Q15" s="44"/>
    </row>
    <row r="16" spans="1:17" s="39" customFormat="1" ht="20.100000000000001" customHeight="1">
      <c r="A16" s="38"/>
      <c r="B16" s="38"/>
      <c r="D16" s="50" t="s">
        <v>67</v>
      </c>
      <c r="E16" s="50" t="s">
        <v>94</v>
      </c>
      <c r="F16" s="50" t="s">
        <v>102</v>
      </c>
      <c r="G16" s="50" t="s">
        <v>106</v>
      </c>
      <c r="K16" s="7" t="s">
        <v>1</v>
      </c>
      <c r="L16" s="7" t="s">
        <v>2</v>
      </c>
      <c r="M16" s="7" t="s">
        <v>3</v>
      </c>
      <c r="N16" s="7" t="s">
        <v>4</v>
      </c>
      <c r="O16" s="7" t="s">
        <v>5</v>
      </c>
      <c r="P16" s="7" t="s">
        <v>6</v>
      </c>
      <c r="Q16" s="7" t="s">
        <v>30</v>
      </c>
    </row>
    <row r="17" spans="1:17" s="39" customFormat="1" ht="20.100000000000001" customHeight="1">
      <c r="A17" s="38"/>
      <c r="B17" s="38"/>
      <c r="D17" s="50"/>
      <c r="E17" s="50"/>
      <c r="F17" s="50"/>
      <c r="G17" s="50"/>
      <c r="K17" s="11" t="s">
        <v>45</v>
      </c>
      <c r="L17" s="20">
        <v>0.89</v>
      </c>
      <c r="M17" s="20">
        <v>0.66</v>
      </c>
      <c r="N17" s="20">
        <v>0.88</v>
      </c>
      <c r="O17" s="20">
        <v>7.9365079365079361E-3</v>
      </c>
      <c r="P17" s="20">
        <v>1</v>
      </c>
      <c r="Q17" s="41" t="s">
        <v>46</v>
      </c>
    </row>
    <row r="18" spans="1:17" s="39" customFormat="1" ht="20.100000000000001" customHeight="1">
      <c r="A18" s="1"/>
      <c r="B18" s="1"/>
      <c r="D18" s="52" t="s">
        <v>103</v>
      </c>
      <c r="E18" s="53" t="s">
        <v>2</v>
      </c>
      <c r="F18" s="60">
        <v>0.93600000000000005</v>
      </c>
      <c r="G18" s="62" t="s">
        <v>108</v>
      </c>
      <c r="K18" s="11" t="s">
        <v>48</v>
      </c>
      <c r="L18" s="20">
        <v>0.89</v>
      </c>
      <c r="M18" s="20">
        <v>0.66</v>
      </c>
      <c r="N18" s="20">
        <v>0.88</v>
      </c>
      <c r="O18" s="20">
        <v>7.9365079365079361E-3</v>
      </c>
      <c r="P18" s="20">
        <v>1</v>
      </c>
      <c r="Q18" s="41" t="s">
        <v>49</v>
      </c>
    </row>
    <row r="19" spans="1:17" s="39" customFormat="1" ht="20.100000000000001" customHeight="1">
      <c r="A19" s="44"/>
      <c r="B19" s="44"/>
      <c r="D19" s="52"/>
      <c r="E19" s="53" t="s">
        <v>4</v>
      </c>
      <c r="F19" s="54">
        <v>0.90700000000000003</v>
      </c>
      <c r="G19" s="62" t="s">
        <v>109</v>
      </c>
      <c r="K19" s="11" t="s">
        <v>51</v>
      </c>
      <c r="L19" s="20">
        <v>0.89</v>
      </c>
      <c r="M19" s="20">
        <v>0.66</v>
      </c>
      <c r="N19" s="20">
        <v>0.88</v>
      </c>
      <c r="O19" s="20">
        <v>7.9365079365079361E-3</v>
      </c>
      <c r="P19" s="20">
        <v>1</v>
      </c>
      <c r="Q19" s="41" t="s">
        <v>52</v>
      </c>
    </row>
    <row r="20" spans="1:17" s="39" customFormat="1" ht="20.100000000000001" customHeight="1">
      <c r="A20" s="44"/>
      <c r="B20" s="44"/>
      <c r="D20" s="52" t="s">
        <v>104</v>
      </c>
      <c r="E20" s="53" t="s">
        <v>101</v>
      </c>
      <c r="F20" s="54">
        <v>0.83</v>
      </c>
      <c r="G20" s="62" t="s">
        <v>107</v>
      </c>
      <c r="K20" s="11" t="s">
        <v>54</v>
      </c>
      <c r="L20" s="20">
        <v>0.89</v>
      </c>
      <c r="M20" s="20">
        <v>0.66</v>
      </c>
      <c r="N20" s="20">
        <v>0.88</v>
      </c>
      <c r="O20" s="20">
        <v>7.9365079365079361E-3</v>
      </c>
      <c r="P20" s="20">
        <v>1</v>
      </c>
      <c r="Q20" s="41" t="s">
        <v>55</v>
      </c>
    </row>
    <row r="21" spans="1:17" s="39" customFormat="1" ht="20.100000000000001" customHeight="1">
      <c r="A21" s="44"/>
      <c r="B21" s="44"/>
      <c r="D21" s="52"/>
      <c r="E21" s="53" t="s">
        <v>100</v>
      </c>
      <c r="F21" s="54">
        <v>7.0000000000000001E-3</v>
      </c>
      <c r="G21" s="61">
        <f>ROUND((G11-F11)*100,1)</f>
        <v>0</v>
      </c>
      <c r="K21" s="11" t="s">
        <v>56</v>
      </c>
      <c r="L21" s="20">
        <v>1</v>
      </c>
      <c r="M21" s="20">
        <v>1</v>
      </c>
      <c r="N21" s="20">
        <v>0.98</v>
      </c>
      <c r="O21" s="20">
        <v>7.9365079365079361E-3</v>
      </c>
      <c r="P21" s="20">
        <v>1</v>
      </c>
      <c r="Q21" s="41" t="s">
        <v>57</v>
      </c>
    </row>
    <row r="22" spans="1:17" s="39" customFormat="1" ht="20.100000000000001" customHeight="1">
      <c r="A22" s="3"/>
      <c r="B22" s="1"/>
      <c r="C22" s="1"/>
      <c r="D22" s="43"/>
      <c r="E22" s="43"/>
      <c r="F22" s="43"/>
      <c r="G22" s="43"/>
      <c r="I22" s="44"/>
      <c r="K22" s="11" t="s">
        <v>58</v>
      </c>
      <c r="L22" s="20">
        <v>0.89</v>
      </c>
      <c r="M22" s="20">
        <v>0.66</v>
      </c>
      <c r="N22" s="20">
        <v>0.88</v>
      </c>
      <c r="O22" s="20">
        <v>7.9365079365079361E-3</v>
      </c>
      <c r="P22" s="20">
        <v>1</v>
      </c>
      <c r="Q22" s="41" t="s">
        <v>59</v>
      </c>
    </row>
    <row r="23" spans="1:17" s="39" customFormat="1" ht="20.100000000000001" customHeight="1">
      <c r="A23" s="44"/>
      <c r="B23" s="44"/>
      <c r="C23" s="1"/>
      <c r="D23" s="1"/>
      <c r="E23" s="1"/>
      <c r="F23" s="1"/>
      <c r="G23" s="1"/>
      <c r="I23" s="1"/>
      <c r="K23" s="11" t="s">
        <v>60</v>
      </c>
      <c r="L23" s="20">
        <v>0.89</v>
      </c>
      <c r="M23" s="20">
        <v>0.66</v>
      </c>
      <c r="N23" s="20">
        <v>0.88</v>
      </c>
      <c r="O23" s="20">
        <v>7.9365079365079361E-3</v>
      </c>
      <c r="P23" s="20">
        <v>1</v>
      </c>
      <c r="Q23" s="41" t="s">
        <v>61</v>
      </c>
    </row>
    <row r="24" spans="1:17" s="39" customFormat="1" ht="20.100000000000001" customHeight="1">
      <c r="A24" s="44"/>
      <c r="B24" s="44"/>
      <c r="C24" s="43"/>
      <c r="D24" s="43"/>
      <c r="K24" s="11" t="s">
        <v>62</v>
      </c>
      <c r="L24" s="20">
        <v>1</v>
      </c>
      <c r="M24" s="20">
        <v>1</v>
      </c>
      <c r="N24" s="20">
        <v>0.98</v>
      </c>
      <c r="O24" s="20">
        <v>7.9365079365079361E-3</v>
      </c>
      <c r="P24" s="20">
        <v>1</v>
      </c>
      <c r="Q24" s="41" t="s">
        <v>63</v>
      </c>
    </row>
    <row r="25" spans="1:17" s="39" customFormat="1" ht="20.100000000000001" customHeight="1">
      <c r="A25" s="3"/>
      <c r="B25" s="44"/>
      <c r="C25" s="43"/>
      <c r="K25" s="11" t="s">
        <v>64</v>
      </c>
      <c r="L25" s="20">
        <v>0.89</v>
      </c>
      <c r="M25" s="20">
        <v>0.66</v>
      </c>
      <c r="N25" s="20">
        <v>0.88</v>
      </c>
      <c r="O25" s="20">
        <v>7.9365079365079361E-3</v>
      </c>
      <c r="P25" s="20">
        <v>1</v>
      </c>
      <c r="Q25" s="41" t="s">
        <v>65</v>
      </c>
    </row>
    <row r="26" spans="1:17" s="39" customFormat="1" ht="32.1" customHeight="1">
      <c r="A26" s="40"/>
      <c r="B26" s="3"/>
      <c r="C26" s="43"/>
      <c r="J26" s="44"/>
      <c r="K26" s="44"/>
      <c r="L26" s="3"/>
      <c r="M26" s="3"/>
      <c r="N26" s="3"/>
      <c r="O26" s="3"/>
      <c r="P26" s="3"/>
    </row>
    <row r="27" spans="1:17" s="39" customFormat="1">
      <c r="A27" s="38"/>
      <c r="B27" s="44"/>
      <c r="C27" s="43"/>
      <c r="J27" s="44"/>
      <c r="K27" s="44"/>
      <c r="L27" s="3"/>
      <c r="M27" s="3"/>
      <c r="N27" s="3"/>
      <c r="O27" s="3"/>
      <c r="P27" s="3"/>
    </row>
    <row r="28" spans="1:17" s="39" customFormat="1">
      <c r="A28" s="38"/>
      <c r="B28" s="44"/>
      <c r="C28" s="43"/>
      <c r="J28" s="37"/>
      <c r="K28" s="45"/>
      <c r="L28" s="45"/>
      <c r="M28" s="45"/>
      <c r="N28" s="45"/>
      <c r="O28" s="45"/>
      <c r="P28" s="45"/>
    </row>
    <row r="29" spans="1:17" s="39" customFormat="1" ht="32.1" customHeight="1">
      <c r="A29" s="40"/>
      <c r="B29" s="3"/>
      <c r="C29" s="3"/>
      <c r="J29" s="1"/>
      <c r="K29" s="1"/>
      <c r="L29" s="1"/>
      <c r="M29" s="1"/>
      <c r="N29" s="1"/>
      <c r="O29" s="1"/>
      <c r="P29" s="1"/>
    </row>
    <row r="30" spans="1:17" s="39" customFormat="1">
      <c r="A30" s="38"/>
      <c r="B30" s="38"/>
      <c r="C30" s="38"/>
      <c r="J30" s="43"/>
      <c r="K30" s="43"/>
      <c r="L30" s="43"/>
      <c r="M30" s="43"/>
      <c r="N30" s="43"/>
      <c r="O30" s="43"/>
      <c r="P30" s="44"/>
    </row>
    <row r="31" spans="1:17" s="39" customFormat="1">
      <c r="A31" s="38"/>
      <c r="B31" s="38"/>
      <c r="C31" s="38"/>
      <c r="J31" s="43"/>
      <c r="K31" s="43"/>
      <c r="L31" s="43"/>
      <c r="M31" s="43"/>
      <c r="N31" s="43"/>
      <c r="O31" s="43"/>
      <c r="P31" s="44"/>
    </row>
    <row r="32" spans="1:17" s="39" customFormat="1">
      <c r="A32" s="38"/>
      <c r="B32" s="38"/>
      <c r="C32" s="38"/>
      <c r="D32" s="48"/>
      <c r="E32" s="48"/>
      <c r="F32" s="48"/>
      <c r="G32" s="48"/>
      <c r="I32" s="3"/>
      <c r="J32" s="43"/>
      <c r="K32" s="43"/>
      <c r="L32" s="43"/>
      <c r="M32" s="43"/>
      <c r="N32" s="43"/>
      <c r="O32" s="43"/>
      <c r="P32" s="44"/>
    </row>
    <row r="33" spans="4:16" s="39" customFormat="1">
      <c r="I33" s="44"/>
      <c r="J33" s="43"/>
      <c r="K33" s="43"/>
      <c r="L33" s="43"/>
      <c r="M33" s="43"/>
      <c r="N33" s="43"/>
      <c r="O33" s="43"/>
      <c r="P33" s="44"/>
    </row>
    <row r="34" spans="4:16" s="39" customFormat="1">
      <c r="I34" s="44"/>
      <c r="J34" s="43"/>
      <c r="K34" s="43"/>
      <c r="L34" s="43"/>
      <c r="M34" s="43"/>
      <c r="N34" s="43"/>
      <c r="O34" s="43"/>
      <c r="P34" s="44"/>
    </row>
    <row r="35" spans="4:16" s="39" customFormat="1">
      <c r="I35" s="44"/>
      <c r="J35" s="44"/>
      <c r="K35" s="3"/>
      <c r="L35" s="3"/>
      <c r="M35" s="3"/>
      <c r="N35" s="44"/>
      <c r="O35" s="3"/>
      <c r="P35" s="3"/>
    </row>
    <row r="36" spans="4:16" s="39" customFormat="1">
      <c r="I36" s="44"/>
      <c r="J36" s="44"/>
      <c r="K36" s="44"/>
      <c r="L36" s="44"/>
      <c r="M36" s="44"/>
      <c r="N36" s="3"/>
      <c r="O36" s="3"/>
      <c r="P36" s="3"/>
    </row>
    <row r="37" spans="4:16" s="39" customFormat="1" ht="30" customHeight="1">
      <c r="D37" s="46" t="s">
        <v>83</v>
      </c>
      <c r="E37" s="45"/>
      <c r="F37" s="45"/>
      <c r="G37" s="45"/>
      <c r="H37" s="45"/>
      <c r="I37" s="47"/>
      <c r="J37" s="45"/>
      <c r="K37" s="45"/>
      <c r="L37" s="45"/>
      <c r="M37" s="45"/>
      <c r="N37" s="45"/>
      <c r="O37" s="45"/>
      <c r="P37" s="45"/>
    </row>
    <row r="38" spans="4:16" s="39" customFormat="1" ht="30" customHeight="1">
      <c r="D38" s="46" t="s">
        <v>84</v>
      </c>
      <c r="E38" s="45"/>
      <c r="F38" s="45"/>
      <c r="G38" s="45"/>
      <c r="H38" s="45"/>
      <c r="I38" s="47"/>
      <c r="J38" s="45"/>
      <c r="K38" s="45"/>
      <c r="L38" s="45"/>
      <c r="M38" s="45"/>
      <c r="N38" s="45"/>
      <c r="O38" s="45"/>
      <c r="P38" s="45"/>
    </row>
    <row r="39" spans="4:16" s="39" customFormat="1" ht="30" customHeight="1">
      <c r="D39" s="46" t="s">
        <v>85</v>
      </c>
      <c r="E39" s="45"/>
      <c r="F39" s="45"/>
      <c r="G39" s="45"/>
      <c r="H39" s="45"/>
      <c r="I39" s="47"/>
      <c r="J39" s="45"/>
      <c r="K39" s="45"/>
      <c r="L39" s="45"/>
      <c r="M39" s="45"/>
      <c r="N39" s="45"/>
      <c r="O39" s="45"/>
      <c r="P39" s="45"/>
    </row>
    <row r="40" spans="4:16" s="39" customFormat="1" ht="30" customHeight="1">
      <c r="D40" s="46" t="s">
        <v>86</v>
      </c>
      <c r="E40" s="45"/>
      <c r="F40" s="45"/>
      <c r="G40" s="45"/>
      <c r="H40" s="45"/>
      <c r="I40" s="47"/>
      <c r="J40" s="45"/>
      <c r="K40" s="45"/>
      <c r="L40" s="45"/>
      <c r="M40" s="45"/>
      <c r="N40" s="45"/>
      <c r="O40" s="45"/>
      <c r="P40" s="45"/>
    </row>
    <row r="41" spans="4:16" s="39" customFormat="1" ht="30" customHeight="1">
      <c r="D41" s="46" t="s">
        <v>87</v>
      </c>
      <c r="E41" s="45"/>
      <c r="F41" s="45"/>
      <c r="G41" s="45"/>
      <c r="H41" s="45"/>
      <c r="I41" s="47"/>
      <c r="J41" s="45"/>
      <c r="K41" s="45"/>
      <c r="L41" s="45"/>
      <c r="M41" s="45"/>
      <c r="N41" s="45"/>
      <c r="O41" s="45"/>
      <c r="P41" s="45"/>
    </row>
    <row r="42" spans="4:16" s="39" customFormat="1" ht="30" customHeight="1">
      <c r="D42" s="46" t="s">
        <v>88</v>
      </c>
      <c r="E42" s="45"/>
      <c r="F42" s="45"/>
      <c r="G42" s="45"/>
      <c r="H42" s="45"/>
      <c r="I42" s="47"/>
      <c r="J42" s="45"/>
      <c r="K42" s="45"/>
      <c r="L42" s="45"/>
      <c r="M42" s="45"/>
      <c r="N42" s="45"/>
      <c r="O42" s="45"/>
      <c r="P42" s="45"/>
    </row>
    <row r="43" spans="4:16" s="39" customFormat="1" ht="30" customHeight="1">
      <c r="D43" s="46" t="s">
        <v>89</v>
      </c>
      <c r="E43" s="45"/>
      <c r="F43" s="45"/>
      <c r="G43" s="45"/>
      <c r="H43" s="45"/>
      <c r="I43" s="47"/>
      <c r="J43" s="45"/>
      <c r="K43" s="45"/>
      <c r="L43" s="45"/>
      <c r="M43" s="45"/>
      <c r="N43" s="45"/>
      <c r="O43" s="45"/>
      <c r="P43" s="45"/>
    </row>
    <row r="44" spans="4:16" s="39" customFormat="1" ht="30" customHeight="1">
      <c r="D44" s="46" t="s">
        <v>90</v>
      </c>
      <c r="E44" s="45"/>
      <c r="F44" s="45"/>
      <c r="G44" s="45"/>
      <c r="H44" s="45"/>
      <c r="I44" s="47"/>
      <c r="J44" s="45"/>
      <c r="K44" s="45"/>
      <c r="L44" s="45"/>
      <c r="M44" s="45"/>
      <c r="N44" s="45"/>
      <c r="O44" s="45"/>
      <c r="P44" s="45"/>
    </row>
    <row r="45" spans="4:16" s="39" customFormat="1">
      <c r="I45" s="44"/>
      <c r="J45" s="44"/>
      <c r="K45" s="44"/>
      <c r="L45" s="44"/>
      <c r="M45" s="44"/>
      <c r="N45" s="44"/>
      <c r="O45" s="3"/>
    </row>
    <row r="46" spans="4:16" s="39" customFormat="1">
      <c r="I46" s="44"/>
      <c r="J46" s="44"/>
      <c r="K46" s="3"/>
      <c r="L46" s="3"/>
      <c r="M46" s="3"/>
      <c r="N46" s="44"/>
      <c r="O46" s="3"/>
    </row>
    <row r="47" spans="4:16" s="39" customFormat="1">
      <c r="I47" s="44"/>
      <c r="J47" s="44"/>
      <c r="K47" s="44"/>
      <c r="L47" s="44"/>
      <c r="M47" s="44"/>
      <c r="N47" s="44"/>
      <c r="O47" s="3"/>
    </row>
    <row r="48" spans="4:16" s="39" customFormat="1">
      <c r="I48" s="44"/>
      <c r="J48" s="44"/>
      <c r="K48" s="44"/>
      <c r="L48" s="44"/>
      <c r="M48" s="44"/>
      <c r="N48" s="44"/>
      <c r="O48" s="3"/>
    </row>
    <row r="49" spans="9:15" s="39" customFormat="1">
      <c r="I49" s="44"/>
      <c r="J49" s="44"/>
      <c r="K49" s="3"/>
      <c r="L49" s="3"/>
      <c r="M49" s="3"/>
      <c r="N49" s="44"/>
      <c r="O49" s="3"/>
    </row>
    <row r="50" spans="9:15" s="39" customFormat="1">
      <c r="I50" s="44"/>
      <c r="J50" s="44"/>
      <c r="K50" s="44"/>
      <c r="L50" s="44"/>
      <c r="M50" s="44"/>
      <c r="N50" s="44"/>
      <c r="O50" s="3"/>
    </row>
  </sheetData>
  <mergeCells count="22">
    <mergeCell ref="G16:G17"/>
    <mergeCell ref="D15:G15"/>
    <mergeCell ref="D18:D19"/>
    <mergeCell ref="D20:D21"/>
    <mergeCell ref="D16:D17"/>
    <mergeCell ref="E16:E17"/>
    <mergeCell ref="F16:F17"/>
    <mergeCell ref="D42:P42"/>
    <mergeCell ref="D43:P43"/>
    <mergeCell ref="D44:P44"/>
    <mergeCell ref="D5:D6"/>
    <mergeCell ref="E5:E6"/>
    <mergeCell ref="F5:H5"/>
    <mergeCell ref="D7:D9"/>
    <mergeCell ref="D10:D12"/>
    <mergeCell ref="J28:P28"/>
    <mergeCell ref="D37:P37"/>
    <mergeCell ref="D38:P38"/>
    <mergeCell ref="D39:P39"/>
    <mergeCell ref="D40:P40"/>
    <mergeCell ref="D41:P41"/>
    <mergeCell ref="D4:H4"/>
  </mergeCells>
  <phoneticPr fontId="2" type="noConversion"/>
  <conditionalFormatting sqref="H7:H12">
    <cfRule type="cellIs" dxfId="9" priority="3" operator="greaterThan">
      <formula>0</formula>
    </cfRule>
    <cfRule type="cellIs" dxfId="8" priority="4" operator="lessThan">
      <formula>0</formula>
    </cfRule>
  </conditionalFormatting>
  <pageMargins left="0.7" right="0.7" top="0.75" bottom="0.75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Gemini-3.7-Flash_v2 (2)</vt:lpstr>
      <vt:lpstr>GPT-6-luna (2)</vt:lpstr>
      <vt:lpstr>Gemini-3.7-Flash</vt:lpstr>
      <vt:lpstr>Gemini-3.7-Flash_v2</vt:lpstr>
      <vt:lpstr>Gemini-3.7-Flash_v3</vt:lpstr>
      <vt:lpstr>'Gemini-3.7-Flash_v2'!Print_Area</vt:lpstr>
      <vt:lpstr>'Gemini-3.7-Flash_v2 (2)'!Print_Area</vt:lpstr>
      <vt:lpstr>'Gemini-3.7-Flash_v3'!Print_Area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승건 이</dc:creator>
  <cp:lastModifiedBy>승건 이</cp:lastModifiedBy>
  <dcterms:created xsi:type="dcterms:W3CDTF">2026-09-28T05:41:55Z</dcterms:created>
  <dcterms:modified xsi:type="dcterms:W3CDTF">2026-10-30T04:41:40Z</dcterms:modified>
</cp:coreProperties>
</file>